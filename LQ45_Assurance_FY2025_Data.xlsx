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omments1.xml" ContentType="application/vnd.openxmlformats-officedocument.spreadsheetml.comments+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lvi\Desktop\PROJECTS\DATA ANALYST\ESG Data Insights Project\[Project 1] Assurance Gap\Github\"/>
    </mc:Choice>
  </mc:AlternateContent>
  <xr:revisionPtr revIDLastSave="0" documentId="13_ncr:1_{E004D526-E617-4726-BBE4-00403A4345F9}" xr6:coauthVersionLast="47" xr6:coauthVersionMax="47" xr10:uidLastSave="{00000000-0000-0000-0000-000000000000}"/>
  <bookViews>
    <workbookView xWindow="-108" yWindow="-108" windowWidth="23256" windowHeight="12456" tabRatio="500" firstSheet="6" activeTab="12" xr2:uid="{00000000-000D-0000-FFFF-FFFF00000000}"/>
  </bookViews>
  <sheets>
    <sheet name="About" sheetId="1" r:id="rId1"/>
    <sheet name="Data" sheetId="2" r:id="rId2"/>
    <sheet name="GHG reconciliation" sheetId="3" r:id="rId3"/>
    <sheet name="Codebook" sheetId="4" r:id="rId4"/>
    <sheet name="Exhibit 1" sheetId="5" r:id="rId5"/>
    <sheet name="Exhibit 2" sheetId="6" r:id="rId6"/>
    <sheet name="Exhibit 3" sheetId="7" r:id="rId7"/>
    <sheet name="Exhibit 4" sheetId="8" r:id="rId8"/>
    <sheet name="Exhibit 5" sheetId="9" r:id="rId9"/>
    <sheet name="Exhibit 6" sheetId="10" r:id="rId10"/>
    <sheet name="Exhibit 7" sheetId="11" r:id="rId11"/>
    <sheet name="Text figures" sheetId="12" r:id="rId12"/>
    <sheet name="Sources" sheetId="13" r:id="rId1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8" i="12" l="1"/>
  <c r="C17" i="12"/>
  <c r="C16" i="12"/>
  <c r="C14" i="12"/>
  <c r="C12" i="12"/>
  <c r="C11" i="12"/>
  <c r="C9" i="12"/>
  <c r="C8" i="12"/>
  <c r="C6" i="12"/>
  <c r="E19" i="10"/>
  <c r="E18" i="10"/>
  <c r="E17" i="10"/>
  <c r="E16" i="10"/>
  <c r="E15" i="10"/>
  <c r="E7" i="9"/>
  <c r="D7" i="9"/>
  <c r="C7" i="9"/>
  <c r="F7" i="9" s="1"/>
  <c r="B7" i="9"/>
  <c r="E6" i="9"/>
  <c r="D6" i="9"/>
  <c r="F6" i="9" s="1"/>
  <c r="C6" i="9"/>
  <c r="B6" i="9"/>
  <c r="D5" i="9"/>
  <c r="C5" i="9"/>
  <c r="F5" i="9" s="1"/>
  <c r="B5" i="9"/>
  <c r="E5" i="9" s="1"/>
  <c r="F17" i="8"/>
  <c r="E17" i="8"/>
  <c r="D17" i="8"/>
  <c r="C17" i="8"/>
  <c r="B17" i="8"/>
  <c r="F16" i="8"/>
  <c r="E16" i="8"/>
  <c r="D16" i="8"/>
  <c r="C16" i="8"/>
  <c r="B16" i="8"/>
  <c r="F15" i="8"/>
  <c r="E15" i="8"/>
  <c r="D15" i="8"/>
  <c r="C15" i="8"/>
  <c r="B15" i="8"/>
  <c r="F14" i="8"/>
  <c r="E14" i="8"/>
  <c r="D14" i="8"/>
  <c r="C14" i="8"/>
  <c r="B14" i="8"/>
  <c r="F13" i="8"/>
  <c r="E13" i="8"/>
  <c r="D13" i="8"/>
  <c r="C13" i="8"/>
  <c r="B13" i="8"/>
  <c r="F9" i="8"/>
  <c r="E9" i="8"/>
  <c r="D9" i="8"/>
  <c r="C9" i="8"/>
  <c r="B9" i="8"/>
  <c r="F8" i="8"/>
  <c r="E8" i="8"/>
  <c r="D8" i="8"/>
  <c r="C8" i="8"/>
  <c r="B8" i="8"/>
  <c r="F7" i="8"/>
  <c r="E7" i="8"/>
  <c r="D7" i="8"/>
  <c r="C7" i="8"/>
  <c r="B7" i="8"/>
  <c r="F6" i="8"/>
  <c r="E6" i="8"/>
  <c r="D6" i="8"/>
  <c r="C6" i="8"/>
  <c r="B6" i="8"/>
  <c r="F5" i="8"/>
  <c r="E5" i="8"/>
  <c r="D5" i="8"/>
  <c r="C5" i="8"/>
  <c r="B5" i="8"/>
  <c r="D32" i="7"/>
  <c r="B32" i="7"/>
  <c r="B31" i="7"/>
  <c r="B30" i="7"/>
  <c r="B29" i="7"/>
  <c r="B28" i="7"/>
  <c r="C27" i="7"/>
  <c r="D27" i="7" s="1"/>
  <c r="B27" i="7"/>
  <c r="B26" i="7"/>
  <c r="B25" i="7"/>
  <c r="B24" i="7"/>
  <c r="B23" i="7"/>
  <c r="B34" i="7" s="1"/>
  <c r="B18" i="7"/>
  <c r="B17" i="7"/>
  <c r="B16" i="7"/>
  <c r="C15" i="7"/>
  <c r="B15" i="7"/>
  <c r="B14" i="7"/>
  <c r="B13" i="7"/>
  <c r="B12" i="7"/>
  <c r="B11" i="7"/>
  <c r="B10" i="7"/>
  <c r="B6" i="7"/>
  <c r="B5" i="7"/>
  <c r="B9" i="5"/>
  <c r="B7" i="5"/>
  <c r="O49" i="3"/>
  <c r="N49" i="3"/>
  <c r="M49" i="3"/>
  <c r="P49" i="3" s="1"/>
  <c r="O48" i="3"/>
  <c r="N48" i="3"/>
  <c r="M48" i="3"/>
  <c r="P48" i="3" s="1"/>
  <c r="P47" i="3"/>
  <c r="O47" i="3"/>
  <c r="N47" i="3"/>
  <c r="M47" i="3"/>
  <c r="O46" i="3"/>
  <c r="N46" i="3"/>
  <c r="M46" i="3"/>
  <c r="P46" i="3" s="1"/>
  <c r="O45" i="3"/>
  <c r="N45" i="3"/>
  <c r="M45" i="3"/>
  <c r="P45" i="3" s="1"/>
  <c r="O44" i="3"/>
  <c r="N44" i="3"/>
  <c r="M44" i="3"/>
  <c r="P44" i="3" s="1"/>
  <c r="P43" i="3"/>
  <c r="O43" i="3"/>
  <c r="N43" i="3"/>
  <c r="M43" i="3"/>
  <c r="O42" i="3"/>
  <c r="N42" i="3"/>
  <c r="M42" i="3"/>
  <c r="P42" i="3" s="1"/>
  <c r="O41" i="3"/>
  <c r="N41" i="3"/>
  <c r="M41" i="3"/>
  <c r="P41" i="3" s="1"/>
  <c r="O40" i="3"/>
  <c r="P40" i="3" s="1"/>
  <c r="N40" i="3"/>
  <c r="M40" i="3"/>
  <c r="P39" i="3"/>
  <c r="O39" i="3"/>
  <c r="N39" i="3"/>
  <c r="M39" i="3"/>
  <c r="O38" i="3"/>
  <c r="N38" i="3"/>
  <c r="M38" i="3"/>
  <c r="P38" i="3" s="1"/>
  <c r="O37" i="3"/>
  <c r="N37" i="3"/>
  <c r="M37" i="3"/>
  <c r="P37" i="3" s="1"/>
  <c r="P36" i="3"/>
  <c r="O36" i="3"/>
  <c r="N36" i="3"/>
  <c r="M36" i="3"/>
  <c r="P35" i="3"/>
  <c r="O35" i="3"/>
  <c r="N35" i="3"/>
  <c r="M35" i="3"/>
  <c r="O34" i="3"/>
  <c r="N34" i="3"/>
  <c r="M34" i="3"/>
  <c r="P34" i="3" s="1"/>
  <c r="P33" i="3"/>
  <c r="O33" i="3"/>
  <c r="N33" i="3"/>
  <c r="M33" i="3"/>
  <c r="O32" i="3"/>
  <c r="N32" i="3"/>
  <c r="M32" i="3"/>
  <c r="P32" i="3" s="1"/>
  <c r="P31" i="3"/>
  <c r="O31" i="3"/>
  <c r="N31" i="3"/>
  <c r="M31" i="3"/>
  <c r="O30" i="3"/>
  <c r="N30" i="3"/>
  <c r="M30" i="3"/>
  <c r="P30" i="3" s="1"/>
  <c r="O29" i="3"/>
  <c r="N29" i="3"/>
  <c r="M29" i="3"/>
  <c r="P29" i="3" s="1"/>
  <c r="O28" i="3"/>
  <c r="N28" i="3"/>
  <c r="M28" i="3"/>
  <c r="P28" i="3" s="1"/>
  <c r="P27" i="3"/>
  <c r="O27" i="3"/>
  <c r="N27" i="3"/>
  <c r="M27" i="3"/>
  <c r="O26" i="3"/>
  <c r="N26" i="3"/>
  <c r="M26" i="3"/>
  <c r="P26" i="3" s="1"/>
  <c r="O25" i="3"/>
  <c r="N25" i="3"/>
  <c r="M25" i="3"/>
  <c r="P25" i="3" s="1"/>
  <c r="O24" i="3"/>
  <c r="N24" i="3"/>
  <c r="M24" i="3"/>
  <c r="P24" i="3" s="1"/>
  <c r="P23" i="3"/>
  <c r="O23" i="3"/>
  <c r="N23" i="3"/>
  <c r="M23" i="3"/>
  <c r="O22" i="3"/>
  <c r="N22" i="3"/>
  <c r="M22" i="3"/>
  <c r="P22" i="3" s="1"/>
  <c r="P21" i="3"/>
  <c r="O21" i="3"/>
  <c r="N21" i="3"/>
  <c r="M21" i="3"/>
  <c r="O20" i="3"/>
  <c r="N20" i="3"/>
  <c r="M20" i="3"/>
  <c r="P20" i="3" s="1"/>
  <c r="P19" i="3"/>
  <c r="O19" i="3"/>
  <c r="N19" i="3"/>
  <c r="M19" i="3"/>
  <c r="O18" i="3"/>
  <c r="N18" i="3"/>
  <c r="M18" i="3"/>
  <c r="P18" i="3" s="1"/>
  <c r="P17" i="3"/>
  <c r="O17" i="3"/>
  <c r="N17" i="3"/>
  <c r="M17" i="3"/>
  <c r="P16" i="3"/>
  <c r="O16" i="3"/>
  <c r="N16" i="3"/>
  <c r="M16" i="3"/>
  <c r="O15" i="3"/>
  <c r="N15" i="3"/>
  <c r="P15" i="3" s="1"/>
  <c r="M15" i="3"/>
  <c r="O14" i="3"/>
  <c r="N14" i="3"/>
  <c r="M14" i="3"/>
  <c r="P14" i="3" s="1"/>
  <c r="O13" i="3"/>
  <c r="P13" i="3" s="1"/>
  <c r="N13" i="3"/>
  <c r="M13" i="3"/>
  <c r="O12" i="3"/>
  <c r="N12" i="3"/>
  <c r="M12" i="3"/>
  <c r="P12" i="3" s="1"/>
  <c r="O11" i="3"/>
  <c r="N11" i="3"/>
  <c r="P11" i="3" s="1"/>
  <c r="M11" i="3"/>
  <c r="O10" i="3"/>
  <c r="N10" i="3"/>
  <c r="M10" i="3"/>
  <c r="P10" i="3" s="1"/>
  <c r="O9" i="3"/>
  <c r="N9" i="3"/>
  <c r="M9" i="3"/>
  <c r="P9" i="3" s="1"/>
  <c r="O8" i="3"/>
  <c r="N8" i="3"/>
  <c r="M8" i="3"/>
  <c r="P8" i="3" s="1"/>
  <c r="P7" i="3"/>
  <c r="O7" i="3"/>
  <c r="N7" i="3"/>
  <c r="M7" i="3"/>
  <c r="O6" i="3"/>
  <c r="N6" i="3"/>
  <c r="M6" i="3"/>
  <c r="P6" i="3" s="1"/>
  <c r="O5" i="3"/>
  <c r="N5" i="3"/>
  <c r="M5" i="3"/>
  <c r="P5" i="3" s="1"/>
  <c r="AX49" i="2"/>
  <c r="AU49" i="2"/>
  <c r="AT49" i="2"/>
  <c r="J49" i="2"/>
  <c r="AV48" i="2"/>
  <c r="AU48" i="2"/>
  <c r="AT48" i="2"/>
  <c r="AR48" i="2"/>
  <c r="AQ48" i="2"/>
  <c r="AP48" i="2"/>
  <c r="J48" i="2"/>
  <c r="AO48" i="2" s="1"/>
  <c r="AU47" i="2"/>
  <c r="AT47" i="2"/>
  <c r="AS47" i="2"/>
  <c r="AR47" i="2"/>
  <c r="AQ47" i="2"/>
  <c r="AP47" i="2"/>
  <c r="AO47" i="2"/>
  <c r="AN47" i="2"/>
  <c r="J47" i="2"/>
  <c r="AU46" i="2"/>
  <c r="AQ46" i="2"/>
  <c r="AP46" i="2"/>
  <c r="J46" i="2"/>
  <c r="AX45" i="2"/>
  <c r="AW45" i="2"/>
  <c r="AV45" i="2"/>
  <c r="AU45" i="2"/>
  <c r="AT45" i="2"/>
  <c r="AR45" i="2"/>
  <c r="AQ45" i="2"/>
  <c r="J45" i="2"/>
  <c r="AU44" i="2"/>
  <c r="AV44" i="2" s="1"/>
  <c r="AT44" i="2"/>
  <c r="AQ44" i="2"/>
  <c r="AP44" i="2"/>
  <c r="J44" i="2"/>
  <c r="AO44" i="2" s="1"/>
  <c r="J43" i="2"/>
  <c r="AO43" i="2" s="1"/>
  <c r="AQ42" i="2"/>
  <c r="AP42" i="2"/>
  <c r="AN42" i="2"/>
  <c r="J42" i="2"/>
  <c r="J41" i="2"/>
  <c r="AU40" i="2"/>
  <c r="AT40" i="2"/>
  <c r="AR40" i="2"/>
  <c r="AQ40" i="2"/>
  <c r="AP40" i="2"/>
  <c r="AS40" i="2" s="1"/>
  <c r="AX40" i="2" s="1"/>
  <c r="AN40" i="2"/>
  <c r="J40" i="2"/>
  <c r="AO40" i="2" s="1"/>
  <c r="AR39" i="2"/>
  <c r="AQ39" i="2"/>
  <c r="AP39" i="2"/>
  <c r="J39" i="2"/>
  <c r="AN39" i="2" s="1"/>
  <c r="AU38" i="2"/>
  <c r="AQ38" i="2"/>
  <c r="AP38" i="2"/>
  <c r="AO38" i="2"/>
  <c r="AN38" i="2"/>
  <c r="J38" i="2"/>
  <c r="AV37" i="2"/>
  <c r="AU37" i="2"/>
  <c r="AT37" i="2"/>
  <c r="J37" i="2"/>
  <c r="AQ37" i="2" s="1"/>
  <c r="AX36" i="2"/>
  <c r="J36" i="2"/>
  <c r="AO36" i="2" s="1"/>
  <c r="AU35" i="2"/>
  <c r="AP35" i="2"/>
  <c r="J35" i="2"/>
  <c r="AN35" i="2" s="1"/>
  <c r="J34" i="2"/>
  <c r="AO34" i="2" s="1"/>
  <c r="AT33" i="2"/>
  <c r="J33" i="2"/>
  <c r="AQ33" i="2" s="1"/>
  <c r="AX32" i="2"/>
  <c r="AW32" i="2"/>
  <c r="AV32" i="2"/>
  <c r="AU32" i="2"/>
  <c r="AS32" i="2"/>
  <c r="AR32" i="2"/>
  <c r="AQ32" i="2"/>
  <c r="AP32" i="2"/>
  <c r="J32" i="2"/>
  <c r="AO32" i="2" s="1"/>
  <c r="AU31" i="2"/>
  <c r="AT31" i="2"/>
  <c r="AR31" i="2"/>
  <c r="AQ31" i="2"/>
  <c r="AP31" i="2"/>
  <c r="AS31" i="2" s="1"/>
  <c r="AO31" i="2"/>
  <c r="AN31" i="2"/>
  <c r="J31" i="2"/>
  <c r="AU30" i="2"/>
  <c r="AQ30" i="2"/>
  <c r="AP30" i="2"/>
  <c r="J30" i="2"/>
  <c r="AN30" i="2" s="1"/>
  <c r="AU29" i="2"/>
  <c r="AT29" i="2"/>
  <c r="AV29" i="2" s="1"/>
  <c r="AR29" i="2"/>
  <c r="AQ29" i="2"/>
  <c r="J29" i="2"/>
  <c r="AU28" i="2"/>
  <c r="AV28" i="2" s="1"/>
  <c r="AT28" i="2"/>
  <c r="AQ28" i="2"/>
  <c r="AP28" i="2"/>
  <c r="J28" i="2"/>
  <c r="AO28" i="2" s="1"/>
  <c r="AU27" i="2"/>
  <c r="J27" i="2"/>
  <c r="AN27" i="2" s="1"/>
  <c r="J26" i="2"/>
  <c r="AO26" i="2" s="1"/>
  <c r="J25" i="2"/>
  <c r="AR25" i="2" s="1"/>
  <c r="AX24" i="2"/>
  <c r="AU24" i="2"/>
  <c r="AT24" i="2"/>
  <c r="AQ24" i="2"/>
  <c r="J24" i="2"/>
  <c r="AO24" i="2" s="1"/>
  <c r="AQ23" i="2"/>
  <c r="J23" i="2"/>
  <c r="AU22" i="2"/>
  <c r="AQ22" i="2"/>
  <c r="AP22" i="2"/>
  <c r="AO22" i="2"/>
  <c r="AN22" i="2"/>
  <c r="J22" i="2"/>
  <c r="AU21" i="2"/>
  <c r="J21" i="2"/>
  <c r="AX20" i="2"/>
  <c r="AU20" i="2"/>
  <c r="J20" i="2"/>
  <c r="AO20" i="2" s="1"/>
  <c r="J19" i="2"/>
  <c r="AN19" i="2" s="1"/>
  <c r="J18" i="2"/>
  <c r="AQ18" i="2" s="1"/>
  <c r="J17" i="2"/>
  <c r="AU16" i="2"/>
  <c r="AR16" i="2"/>
  <c r="AQ16" i="2"/>
  <c r="AP16" i="2"/>
  <c r="J16" i="2"/>
  <c r="AO16" i="2" s="1"/>
  <c r="AU15" i="2"/>
  <c r="AT15" i="2"/>
  <c r="AR15" i="2"/>
  <c r="AQ15" i="2"/>
  <c r="AP15" i="2"/>
  <c r="AO15" i="2"/>
  <c r="AN15" i="2"/>
  <c r="AS15" i="2" s="1"/>
  <c r="J15" i="2"/>
  <c r="AQ14" i="2"/>
  <c r="J14" i="2"/>
  <c r="AU13" i="2"/>
  <c r="AT13" i="2"/>
  <c r="AV13" i="2" s="1"/>
  <c r="AR13" i="2"/>
  <c r="AQ13" i="2"/>
  <c r="J13" i="2"/>
  <c r="AU12" i="2"/>
  <c r="AV12" i="2" s="1"/>
  <c r="AT12" i="2"/>
  <c r="AQ12" i="2"/>
  <c r="AP12" i="2"/>
  <c r="J12" i="2"/>
  <c r="J11" i="2"/>
  <c r="AN11" i="2" s="1"/>
  <c r="J10" i="2"/>
  <c r="AN10" i="2" s="1"/>
  <c r="AQ9" i="2"/>
  <c r="AN9" i="2"/>
  <c r="J9" i="2"/>
  <c r="AV8" i="2"/>
  <c r="AU8" i="2"/>
  <c r="AT8" i="2"/>
  <c r="AS8" i="2"/>
  <c r="AR8" i="2"/>
  <c r="AQ8" i="2"/>
  <c r="AP8" i="2"/>
  <c r="AN8" i="2"/>
  <c r="J8" i="2"/>
  <c r="AO8" i="2" s="1"/>
  <c r="AR7" i="2"/>
  <c r="AN7" i="2"/>
  <c r="J7" i="2"/>
  <c r="AS7" i="2" s="1"/>
  <c r="AX6" i="2"/>
  <c r="AV6" i="2"/>
  <c r="AU6" i="2"/>
  <c r="AQ6" i="2"/>
  <c r="AP6" i="2"/>
  <c r="AO6" i="2"/>
  <c r="AN6" i="2"/>
  <c r="J6" i="2"/>
  <c r="AV5" i="2"/>
  <c r="AQ5" i="2"/>
  <c r="J5" i="2"/>
  <c r="C23" i="7" s="1"/>
  <c r="C13" i="12" l="1"/>
  <c r="AQ10" i="2"/>
  <c r="AT14" i="2"/>
  <c r="AS14" i="2"/>
  <c r="AW14" i="2" s="1"/>
  <c r="AR14" i="2"/>
  <c r="AU17" i="2"/>
  <c r="AQ19" i="2"/>
  <c r="AS21" i="2"/>
  <c r="AP21" i="2"/>
  <c r="AN21" i="2"/>
  <c r="AO21" i="2"/>
  <c r="C11" i="7"/>
  <c r="D11" i="7" s="1"/>
  <c r="AQ26" i="2"/>
  <c r="AU5" i="2"/>
  <c r="AQ7" i="2"/>
  <c r="G17" i="8"/>
  <c r="AS9" i="2"/>
  <c r="AX9" i="2" s="1"/>
  <c r="D19" i="10" s="1"/>
  <c r="B19" i="10"/>
  <c r="AP9" i="2"/>
  <c r="AO9" i="2"/>
  <c r="AX10" i="2"/>
  <c r="AP14" i="2"/>
  <c r="AT19" i="2"/>
  <c r="AT21" i="2"/>
  <c r="AP23" i="2"/>
  <c r="AT35" i="2"/>
  <c r="C5" i="7"/>
  <c r="D5" i="7" s="1"/>
  <c r="D15" i="7"/>
  <c r="AP41" i="2"/>
  <c r="AO41" i="2"/>
  <c r="AS41" i="2" s="1"/>
  <c r="AN41" i="2"/>
  <c r="B17" i="10"/>
  <c r="G15" i="8"/>
  <c r="AU19" i="2"/>
  <c r="AV21" i="2"/>
  <c r="AR9" i="2"/>
  <c r="AN20" i="2"/>
  <c r="AW37" i="2"/>
  <c r="G7" i="11"/>
  <c r="F7" i="11"/>
  <c r="C7" i="11"/>
  <c r="B13" i="11" s="1"/>
  <c r="B7" i="11"/>
  <c r="C6" i="7"/>
  <c r="D6" i="7" s="1"/>
  <c r="AS25" i="2"/>
  <c r="AP25" i="2"/>
  <c r="AN25" i="2"/>
  <c r="AO25" i="2"/>
  <c r="C17" i="7"/>
  <c r="D17" i="7" s="1"/>
  <c r="AX27" i="2"/>
  <c r="AV27" i="2"/>
  <c r="AW27" i="2"/>
  <c r="AT34" i="2"/>
  <c r="AV34" i="2" s="1"/>
  <c r="AR34" i="2"/>
  <c r="AQ25" i="2"/>
  <c r="AN34" i="2"/>
  <c r="AN43" i="2"/>
  <c r="B6" i="11"/>
  <c r="G6" i="11"/>
  <c r="F6" i="11"/>
  <c r="C6" i="11"/>
  <c r="B12" i="11" s="1"/>
  <c r="AX5" i="2"/>
  <c r="AT7" i="2"/>
  <c r="AO11" i="2"/>
  <c r="AS11" i="2" s="1"/>
  <c r="AV14" i="2"/>
  <c r="AO18" i="2"/>
  <c r="AW21" i="2"/>
  <c r="AO27" i="2"/>
  <c r="AN36" i="2"/>
  <c r="AR41" i="2"/>
  <c r="AW6" i="2"/>
  <c r="AT6" i="2"/>
  <c r="AS6" i="2"/>
  <c r="AR6" i="2"/>
  <c r="AU7" i="2"/>
  <c r="AT9" i="2"/>
  <c r="AP11" i="2"/>
  <c r="AT16" i="2"/>
  <c r="AV16" i="2" s="1"/>
  <c r="AP18" i="2"/>
  <c r="AP20" i="2"/>
  <c r="AX21" i="2"/>
  <c r="AT23" i="2"/>
  <c r="AV23" i="2" s="1"/>
  <c r="AT25" i="2"/>
  <c r="AP27" i="2"/>
  <c r="AT32" i="2"/>
  <c r="AP34" i="2"/>
  <c r="AP36" i="2"/>
  <c r="AX37" i="2"/>
  <c r="AT39" i="2"/>
  <c r="AT41" i="2"/>
  <c r="AV41" i="2" s="1"/>
  <c r="AP43" i="2"/>
  <c r="C28" i="7"/>
  <c r="D28" i="7" s="1"/>
  <c r="AW5" i="2"/>
  <c r="AU14" i="2"/>
  <c r="AN18" i="2"/>
  <c r="AR23" i="2"/>
  <c r="AQ41" i="2"/>
  <c r="AU9" i="2"/>
  <c r="AQ11" i="2"/>
  <c r="AP13" i="2"/>
  <c r="G8" i="8"/>
  <c r="AO13" i="2"/>
  <c r="AN13" i="2"/>
  <c r="AS13" i="2" s="1"/>
  <c r="B18" i="10"/>
  <c r="C10" i="7"/>
  <c r="D10" i="7" s="1"/>
  <c r="G16" i="8"/>
  <c r="AX15" i="2"/>
  <c r="AW15" i="2"/>
  <c r="AV15" i="2"/>
  <c r="AQ20" i="2"/>
  <c r="AT22" i="2"/>
  <c r="AV22" i="2" s="1"/>
  <c r="AR22" i="2"/>
  <c r="AS22" i="2" s="1"/>
  <c r="AU23" i="2"/>
  <c r="AU25" i="2"/>
  <c r="AQ27" i="2"/>
  <c r="AP29" i="2"/>
  <c r="AO29" i="2"/>
  <c r="AN29" i="2"/>
  <c r="AS29" i="2" s="1"/>
  <c r="AX31" i="2"/>
  <c r="AV31" i="2"/>
  <c r="AW31" i="2" s="1"/>
  <c r="AQ34" i="2"/>
  <c r="AS34" i="2" s="1"/>
  <c r="AQ36" i="2"/>
  <c r="AT38" i="2"/>
  <c r="AV38" i="2" s="1"/>
  <c r="AR38" i="2"/>
  <c r="AS38" i="2" s="1"/>
  <c r="C30" i="7"/>
  <c r="AU39" i="2"/>
  <c r="AU41" i="2"/>
  <c r="AQ43" i="2"/>
  <c r="AS45" i="2"/>
  <c r="AP45" i="2"/>
  <c r="AO45" i="2"/>
  <c r="AN45" i="2"/>
  <c r="AX47" i="2"/>
  <c r="AW47" i="2"/>
  <c r="AV47" i="2"/>
  <c r="AU34" i="2"/>
  <c r="AR36" i="2"/>
  <c r="AR43" i="2"/>
  <c r="C18" i="7"/>
  <c r="D18" i="7" s="1"/>
  <c r="AW18" i="2"/>
  <c r="C26" i="7"/>
  <c r="D26" i="7" s="1"/>
  <c r="AT18" i="2"/>
  <c r="AS18" i="2"/>
  <c r="AR18" i="2"/>
  <c r="G5" i="11"/>
  <c r="F5" i="11"/>
  <c r="C5" i="11"/>
  <c r="B5" i="11"/>
  <c r="AV9" i="2"/>
  <c r="AR11" i="2"/>
  <c r="AU18" i="2"/>
  <c r="AR20" i="2"/>
  <c r="AV25" i="2"/>
  <c r="AR27" i="2"/>
  <c r="AV18" i="2"/>
  <c r="AS20" i="2"/>
  <c r="AN24" i="2"/>
  <c r="AW25" i="2"/>
  <c r="AS27" i="2"/>
  <c r="AS36" i="2"/>
  <c r="AS43" i="2"/>
  <c r="AX43" i="2" s="1"/>
  <c r="C29" i="7"/>
  <c r="D29" i="7" s="1"/>
  <c r="AT11" i="2"/>
  <c r="AV11" i="2" s="1"/>
  <c r="AX18" i="2"/>
  <c r="AT20" i="2"/>
  <c r="AP24" i="2"/>
  <c r="AX25" i="2"/>
  <c r="AT27" i="2"/>
  <c r="AT36" i="2"/>
  <c r="AT43" i="2"/>
  <c r="AV43" i="2" s="1"/>
  <c r="E5" i="11"/>
  <c r="C11" i="11" s="1"/>
  <c r="C12" i="7"/>
  <c r="D12" i="7" s="1"/>
  <c r="C31" i="7"/>
  <c r="D31" i="7" s="1"/>
  <c r="AT42" i="2"/>
  <c r="AR42" i="2"/>
  <c r="AU43" i="2"/>
  <c r="AS49" i="2"/>
  <c r="AP49" i="2"/>
  <c r="AN49" i="2"/>
  <c r="AO49" i="2"/>
  <c r="E6" i="11"/>
  <c r="D6" i="11"/>
  <c r="D30" i="7"/>
  <c r="AP17" i="2"/>
  <c r="AO17" i="2"/>
  <c r="AN17" i="2"/>
  <c r="AS17" i="2" s="1"/>
  <c r="G13" i="8"/>
  <c r="AO12" i="2"/>
  <c r="B15" i="10"/>
  <c r="G5" i="8"/>
  <c r="AQ17" i="2"/>
  <c r="AV20" i="2"/>
  <c r="AR24" i="2"/>
  <c r="AN26" i="2"/>
  <c r="AV36" i="2"/>
  <c r="AQ49" i="2"/>
  <c r="E7" i="11"/>
  <c r="D23" i="7"/>
  <c r="G9" i="8"/>
  <c r="AW10" i="2"/>
  <c r="C16" i="7"/>
  <c r="D16" i="7" s="1"/>
  <c r="AT10" i="2"/>
  <c r="AS10" i="2"/>
  <c r="AR10" i="2"/>
  <c r="B16" i="10"/>
  <c r="G6" i="8"/>
  <c r="G14" i="8"/>
  <c r="C25" i="7"/>
  <c r="D25" i="7" s="1"/>
  <c r="AV19" i="2"/>
  <c r="AP33" i="2"/>
  <c r="AO33" i="2"/>
  <c r="AN33" i="2"/>
  <c r="AS33" i="2" s="1"/>
  <c r="AX35" i="2"/>
  <c r="AW35" i="2"/>
  <c r="AV35" i="2"/>
  <c r="AU36" i="2"/>
  <c r="AO10" i="2"/>
  <c r="AN12" i="2"/>
  <c r="AR17" i="2"/>
  <c r="AO19" i="2"/>
  <c r="AW20" i="2"/>
  <c r="AS24" i="2"/>
  <c r="AN28" i="2"/>
  <c r="AR33" i="2"/>
  <c r="AO35" i="2"/>
  <c r="AW36" i="2"/>
  <c r="AO42" i="2"/>
  <c r="AS42" i="2" s="1"/>
  <c r="AN44" i="2"/>
  <c r="AR49" i="2"/>
  <c r="C13" i="7"/>
  <c r="D13" i="7" s="1"/>
  <c r="AU11" i="2"/>
  <c r="AT26" i="2"/>
  <c r="AR26" i="2"/>
  <c r="AS26" i="2" s="1"/>
  <c r="C10" i="12"/>
  <c r="B8" i="5"/>
  <c r="C8" i="5" s="1"/>
  <c r="AS5" i="2"/>
  <c r="C7" i="12"/>
  <c r="AP5" i="2"/>
  <c r="AO5" i="2"/>
  <c r="C5" i="12"/>
  <c r="AN5" i="2"/>
  <c r="AX7" i="2"/>
  <c r="AW7" i="2"/>
  <c r="AV7" i="2"/>
  <c r="AP10" i="2"/>
  <c r="AT17" i="2"/>
  <c r="AP19" i="2"/>
  <c r="AP26" i="2"/>
  <c r="C24" i="7"/>
  <c r="D24" i="7" s="1"/>
  <c r="C32" i="7"/>
  <c r="AT46" i="2"/>
  <c r="AV46" i="2" s="1"/>
  <c r="AR46" i="2"/>
  <c r="AS46" i="2"/>
  <c r="AW46" i="2" s="1"/>
  <c r="C7" i="5"/>
  <c r="E8" i="10"/>
  <c r="F8" i="10" s="1"/>
  <c r="AO7" i="2"/>
  <c r="AW8" i="2"/>
  <c r="AU10" i="2"/>
  <c r="AR12" i="2"/>
  <c r="AN14" i="2"/>
  <c r="AV17" i="2"/>
  <c r="AQ21" i="2"/>
  <c r="AN23" i="2"/>
  <c r="AS23" i="2" s="1"/>
  <c r="AV24" i="2"/>
  <c r="AR28" i="2"/>
  <c r="AS28" i="2" s="1"/>
  <c r="AV33" i="2"/>
  <c r="AR35" i="2"/>
  <c r="AV40" i="2"/>
  <c r="AW40" i="2" s="1"/>
  <c r="AU42" i="2"/>
  <c r="AR44" i="2"/>
  <c r="AN46" i="2"/>
  <c r="AV49" i="2"/>
  <c r="C9" i="5"/>
  <c r="C14" i="7"/>
  <c r="D14" i="7" s="1"/>
  <c r="AT30" i="2"/>
  <c r="AV30" i="2" s="1"/>
  <c r="AR30" i="2"/>
  <c r="AS30" i="2" s="1"/>
  <c r="AU33" i="2"/>
  <c r="AQ35" i="2"/>
  <c r="AS37" i="2"/>
  <c r="AP37" i="2"/>
  <c r="AO37" i="2"/>
  <c r="AN37" i="2"/>
  <c r="AV39" i="2"/>
  <c r="AR5" i="2"/>
  <c r="AR19" i="2"/>
  <c r="AU26" i="2"/>
  <c r="AT5" i="2"/>
  <c r="AP7" i="2"/>
  <c r="AX8" i="2"/>
  <c r="AV10" i="2"/>
  <c r="AS12" i="2"/>
  <c r="AX12" i="2" s="1"/>
  <c r="AO14" i="2"/>
  <c r="AN16" i="2"/>
  <c r="AS16" i="2" s="1"/>
  <c r="AS19" i="2"/>
  <c r="AX19" i="2" s="1"/>
  <c r="AR21" i="2"/>
  <c r="AO23" i="2"/>
  <c r="AW24" i="2"/>
  <c r="AV26" i="2"/>
  <c r="AO30" i="2"/>
  <c r="AN32" i="2"/>
  <c r="AS35" i="2"/>
  <c r="AR37" i="2"/>
  <c r="AO39" i="2"/>
  <c r="AS39" i="2" s="1"/>
  <c r="AV42" i="2"/>
  <c r="AS44" i="2"/>
  <c r="AW44" i="2" s="1"/>
  <c r="AO46" i="2"/>
  <c r="AN48" i="2"/>
  <c r="AS48" i="2" s="1"/>
  <c r="AW49" i="2"/>
  <c r="G7" i="8"/>
  <c r="D7" i="11"/>
  <c r="D5" i="11"/>
  <c r="AW41" i="2" l="1"/>
  <c r="AX41" i="2"/>
  <c r="AX11" i="2"/>
  <c r="AW11" i="2"/>
  <c r="AX38" i="2"/>
  <c r="AW38" i="2"/>
  <c r="AX22" i="2"/>
  <c r="D16" i="10" s="1"/>
  <c r="AW22" i="2"/>
  <c r="AX28" i="2"/>
  <c r="AW28" i="2"/>
  <c r="AX34" i="2"/>
  <c r="AW34" i="2"/>
  <c r="AX23" i="2"/>
  <c r="AW23" i="2"/>
  <c r="AX13" i="2"/>
  <c r="D18" i="10" s="1"/>
  <c r="AW13" i="2"/>
  <c r="AX39" i="2"/>
  <c r="AW39" i="2"/>
  <c r="AX29" i="2"/>
  <c r="AW29" i="2"/>
  <c r="AW17" i="2"/>
  <c r="AX17" i="2"/>
  <c r="AX26" i="2"/>
  <c r="AW26" i="2"/>
  <c r="AX30" i="2"/>
  <c r="AW30" i="2"/>
  <c r="AW33" i="2"/>
  <c r="AX33" i="2"/>
  <c r="D15" i="10"/>
  <c r="AX42" i="2"/>
  <c r="AW42" i="2"/>
  <c r="AX48" i="2"/>
  <c r="AW48" i="2"/>
  <c r="C19" i="10"/>
  <c r="B11" i="11"/>
  <c r="AX14" i="2"/>
  <c r="E11" i="10"/>
  <c r="F11" i="10" s="1"/>
  <c r="C18" i="10"/>
  <c r="AW12" i="2"/>
  <c r="AX16" i="2"/>
  <c r="AW16" i="2"/>
  <c r="C13" i="11"/>
  <c r="C12" i="11"/>
  <c r="AX46" i="2"/>
  <c r="AX44" i="2"/>
  <c r="B35" i="7"/>
  <c r="E10" i="10"/>
  <c r="F10" i="10" s="1"/>
  <c r="E6" i="10"/>
  <c r="F6" i="10" s="1"/>
  <c r="E7" i="10"/>
  <c r="F7" i="10" s="1"/>
  <c r="G19" i="8"/>
  <c r="AW19" i="2"/>
  <c r="AW9" i="2"/>
  <c r="E9" i="10"/>
  <c r="F9" i="10" s="1"/>
  <c r="AW43" i="2"/>
  <c r="C15" i="10"/>
  <c r="C17" i="10"/>
  <c r="C16" i="10"/>
  <c r="E5" i="10"/>
  <c r="F5" i="10" s="1"/>
  <c r="B5" i="5" l="1"/>
  <c r="C5" i="5" s="1"/>
  <c r="C19" i="12"/>
  <c r="D17" i="10"/>
  <c r="B6" i="5"/>
  <c r="C6" i="5" s="1"/>
  <c r="C2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5" authorId="0" shapeId="0" xr:uid="{00000000-0006-0000-0B00-000001000000}">
      <text>
        <r>
          <rPr>
            <sz val="10"/>
            <rFont val="Arial"/>
            <family val="2"/>
          </rPr>
          <t>Hardcoded: counted in the working file. Issuer-level reconciliation detail is not published.</t>
        </r>
      </text>
    </comment>
  </commentList>
</comments>
</file>

<file path=xl/sharedStrings.xml><?xml version="1.0" encoding="utf-8"?>
<sst xmlns="http://schemas.openxmlformats.org/spreadsheetml/2006/main" count="2865" uniqueCount="804">
  <si>
    <t>State of Sustainability Assurance in LQ45: FY2025</t>
  </si>
  <si>
    <t>Data release for the report by Kelvin Kenzie Muhammad, October 2026</t>
  </si>
  <si>
    <t>Item</t>
  </si>
  <si>
    <t>Description</t>
  </si>
  <si>
    <t>What this is</t>
  </si>
  <si>
    <t>The coded data and calculations behind the report. Every number in the report can be traced to a formula in this workbook.</t>
  </si>
  <si>
    <t>Sample</t>
  </si>
  <si>
    <t>The 45 constituents of the LQ45 index for 3 August to 30 October 2026. For each, the FY2025 sustainability or integrated annual report published in 2026 was read, plus one full assurance report published by the issuer (MEDC).</t>
  </si>
  <si>
    <t>Data</t>
  </si>
  <si>
    <t>One row per issuer: report, assurance statement, provider, standard, level, subject matter and GHG scopes, followed by calculated ISSA 5000 readiness scores.</t>
  </si>
  <si>
    <t>GHG reconciliation</t>
  </si>
  <si>
    <t>Each report with GHG data, checked against itself through three lenses. Anonymised: no issuer names, figures or page references.</t>
  </si>
  <si>
    <t>Codebook</t>
  </si>
  <si>
    <t>Definitions and allowed values for every field, and the 29 coding rules.</t>
  </si>
  <si>
    <t>Exhibit 1 to Exhibit 7</t>
  </si>
  <si>
    <t>One tab per exhibit in the report, calculated from the Data and GHG reconciliation tabs.</t>
  </si>
  <si>
    <t>Text figures</t>
  </si>
  <si>
    <t>Numbers quoted in the report text, with the formula behind each.</t>
  </si>
  <si>
    <t>Sources</t>
  </si>
  <si>
    <t>Every public source used.</t>
  </si>
  <si>
    <t>Method</t>
  </si>
  <si>
    <t>Public documents only, coded against 29 written rules. Extraction and initial coding were AI-assisted; claims naming issuers or providers and all headline figures were verified manually.</t>
  </si>
  <si>
    <t>Limitations</t>
  </si>
  <si>
    <t>The readiness score measures the published statement, not the engagement behind it. Reconciliation tests internal consistency, not the truth of the data; counts are a lower bound. One year and 45 large companies.</t>
  </si>
  <si>
    <t>Contact</t>
  </si>
  <si>
    <t>linkedin.com/in/kelvin-kenzie-muhammad-a50a572a2</t>
  </si>
  <si>
    <t>Coded data: one row per LQ45 issuer, FY2025 reports</t>
  </si>
  <si>
    <t>Columns to the right of Assurance page reference are calculated. Definitions are in the Codebook tab.</t>
  </si>
  <si>
    <t>Ticker</t>
  </si>
  <si>
    <t>Company</t>
  </si>
  <si>
    <t>Sector</t>
  </si>
  <si>
    <t>Business group</t>
  </si>
  <si>
    <t>State-owned</t>
  </si>
  <si>
    <t>Report type</t>
  </si>
  <si>
    <t>Report link</t>
  </si>
  <si>
    <t>Date accessed</t>
  </si>
  <si>
    <t>Assurance category</t>
  </si>
  <si>
    <t>External statement</t>
  </si>
  <si>
    <t>ESG rating cited</t>
  </si>
  <si>
    <t>Ratings cited</t>
  </si>
  <si>
    <t>Provider</t>
  </si>
  <si>
    <t>Provider type</t>
  </si>
  <si>
    <t>Standard</t>
  </si>
  <si>
    <t>AA1000 type</t>
  </si>
  <si>
    <t>Assurance level</t>
  </si>
  <si>
    <t>Subject matter</t>
  </si>
  <si>
    <t>Scope 1 disclosed</t>
  </si>
  <si>
    <t>Scope 1 assured</t>
  </si>
  <si>
    <t>Scope 2 disclosed</t>
  </si>
  <si>
    <t>Scope 2 assured</t>
  </si>
  <si>
    <t>Scope 3 disclosed</t>
  </si>
  <si>
    <t>Scope 3 assured</t>
  </si>
  <si>
    <t>Energy assured</t>
  </si>
  <si>
    <t>Water assured</t>
  </si>
  <si>
    <t>Waste assured</t>
  </si>
  <si>
    <t>Social assured</t>
  </si>
  <si>
    <t>Other assured topics</t>
  </si>
  <si>
    <t>Independence statement</t>
  </si>
  <si>
    <t>Competence statement</t>
  </si>
  <si>
    <t>QM or ethics reference</t>
  </si>
  <si>
    <t>Conclusion</t>
  </si>
  <si>
    <t>Figures listed</t>
  </si>
  <si>
    <t>Scope 1 figures listed</t>
  </si>
  <si>
    <t>Scope 2 figures listed</t>
  </si>
  <si>
    <t>Scope 3 figures listed</t>
  </si>
  <si>
    <t>Figures match report</t>
  </si>
  <si>
    <t>Assurance page reference</t>
  </si>
  <si>
    <t>C1 Independence</t>
  </si>
  <si>
    <t>C2 Quality management</t>
  </si>
  <si>
    <t>C3 Level</t>
  </si>
  <si>
    <t>C4 Standard</t>
  </si>
  <si>
    <t>C5 Conclusion</t>
  </si>
  <si>
    <t>Core score</t>
  </si>
  <si>
    <t>P1 Scope 1 and 2</t>
  </si>
  <si>
    <t>P2 Figures</t>
  </si>
  <si>
    <t>PSPK score</t>
  </si>
  <si>
    <t>Total score</t>
  </si>
  <si>
    <t>ISSA-ready</t>
  </si>
  <si>
    <t>AADI</t>
  </si>
  <si>
    <t>Adaro Andalan Indonesia</t>
  </si>
  <si>
    <t>Energy</t>
  </si>
  <si>
    <t>Adaro/AlamTri</t>
  </si>
  <si>
    <t>N</t>
  </si>
  <si>
    <t>Standalone SR</t>
  </si>
  <si>
    <t>https://adaroindonesia.com/app/webroot/upload/files/laporan_keberlanjutan/AADI%20Sustainability%20Report%202025.pdf</t>
  </si>
  <si>
    <t>None found</t>
  </si>
  <si>
    <t>N/A</t>
  </si>
  <si>
    <t>Y</t>
  </si>
  <si>
    <t>PDF p. 29 (GRI 2-5)</t>
  </si>
  <si>
    <t>ADMR</t>
  </si>
  <si>
    <t>AlamTri Minerals Indonesia (formerly Adaro Minerals)</t>
  </si>
  <si>
    <t>https://alamtriminerals.id/document/view/en/dfztb13KC8KxGdwilPdXgfNEnjliBH7bJ1W7q39U.pdf/Sustainability%20Report%202025</t>
  </si>
  <si>
    <t>PDF p. 33 (GRI 2-5)</t>
  </si>
  <si>
    <t>ADRO</t>
  </si>
  <si>
    <t>AlamTri Resources Indonesia (formerly Adaro Energy)</t>
  </si>
  <si>
    <t>https://www.alamtri.com/files/news/berkas/2356/ADRO%20Sustainability%20Report%202025.pdf</t>
  </si>
  <si>
    <t>MSCI ESG Rating A (rating action date 26 Sep 2025)</t>
  </si>
  <si>
    <t>PDF p. 32 (GRI 2-5); MSCI: PDF p. 17</t>
  </si>
  <si>
    <t>AKRA</t>
  </si>
  <si>
    <t>AKR Corporindo</t>
  </si>
  <si>
    <t>https://www.akr.co.id/storage/reports/Dp11IbyDaUmCgPbLoxhc08p9nJZXRQE41pjghKYw.pdf</t>
  </si>
  <si>
    <t>ESG Risk Rating 20.9 Medium Risk (Sustainalytics format, provider not named); MSCI ESG AA; S&amp;P Global score 38</t>
  </si>
  <si>
    <t>PDF p. 17 (GRI 2-5); ratings: PDF p. 37</t>
  </si>
  <si>
    <t>AMMN</t>
  </si>
  <si>
    <t>Amman Mineral Internasional</t>
  </si>
  <si>
    <t>Basic Materials</t>
  </si>
  <si>
    <t>https://www.amman.co.id/rails/active_storage/blobs/proxy/eyJfcmFpbHMiOnsiZGF0YSI6NjE0NSwicHVyIjoiYmxvYl9pZCJ9fQ==--063e809101a3c4d0ff04429af5c9b5d7ec4720ee/Sustainability%20Report%202025%20-%20PT%20Amman%20Mineral%20Internasional%20Tbk.pdf?disposition=inline</t>
  </si>
  <si>
    <t>Verification only</t>
  </si>
  <si>
    <t>MSCI ESG BBB (initial rating, Jan 2024; no newer rating cited)</t>
  </si>
  <si>
    <t>Not stated</t>
  </si>
  <si>
    <t>Other</t>
  </si>
  <si>
    <t>GHG only</t>
  </si>
  <si>
    <t>GHG emissions of coal-fired power plant (PTBAE-PU compliance)</t>
  </si>
  <si>
    <t>Not clear</t>
  </si>
  <si>
    <t>PDF p. 9 (GRI 2-5); also p. 34, 168-169</t>
  </si>
  <si>
    <t>AMRT</t>
  </si>
  <si>
    <t>Sumber Alfaria Trijaya</t>
  </si>
  <si>
    <t>Consumer Non-Cyclicals</t>
  </si>
  <si>
    <t>Integrated in AR</t>
  </si>
  <si>
    <t>https://www.idx.co.id/StaticData/NewsAndAnnouncement/ANNOUNCEMENTSTOCK/From_EREP/202604/7555a4adf9_1a26dc520e.pdf</t>
  </si>
  <si>
    <t>PDF p. 249 (GRI 2-5)</t>
  </si>
  <si>
    <t>ANTM</t>
  </si>
  <si>
    <t>Aneka Tambang</t>
  </si>
  <si>
    <t>MIND ID</t>
  </si>
  <si>
    <t>https://storage.googleapis.com/contents.antam.com/uploads/SR%20ANTAM%202025%20(Final).pdf</t>
  </si>
  <si>
    <t>Independent assurance</t>
  </si>
  <si>
    <t>PT TUV Rheinland Indonesia</t>
  </si>
  <si>
    <t>Certification/inspection body</t>
  </si>
  <si>
    <t>AA1000AS v3</t>
  </si>
  <si>
    <t>Type 2</t>
  </si>
  <si>
    <t>Moderate (AA1000)</t>
  </si>
  <si>
    <t>Whole report</t>
  </si>
  <si>
    <t>27 topik material (mis. Biodiversity, Human Rights, Business Ethics, Financial Performance)</t>
  </si>
  <si>
    <t>Unmodified</t>
  </si>
  <si>
    <t>PDF p. 356-359 (statement; printed p. 354-357); GRI 2-5 PDF p. 30</t>
  </si>
  <si>
    <t>ASII</t>
  </si>
  <si>
    <t>Astra International</t>
  </si>
  <si>
    <t>Industrials</t>
  </si>
  <si>
    <t>Astra</t>
  </si>
  <si>
    <t>https://r2.astra.co.id/sustainability-report-details/attachments/2025-Astra-Sustainability-Report.pdf</t>
  </si>
  <si>
    <t>S&amp;P Global CSA score 43 (2025; 40 in 2024)</t>
  </si>
  <si>
    <t>KAP Rintis, Jumadi, Rianto &amp; Rekan (PwC Indonesia)</t>
  </si>
  <si>
    <t>Big 4 network</t>
  </si>
  <si>
    <t>ISAE 3000 + ISAE 3410</t>
  </si>
  <si>
    <t>Limited</t>
  </si>
  <si>
    <t>Selected indicators</t>
  </si>
  <si>
    <t>SPE-GRK carbon credits (tCO2eq)</t>
  </si>
  <si>
    <t>PDF p. 245-251 (statement); assured indicators PDF p. 243-244; GRI 2-5 PDF p. 224-225</t>
  </si>
  <si>
    <t>BBCA</t>
  </si>
  <si>
    <t>Bank Central Asia</t>
  </si>
  <si>
    <t>Financials</t>
  </si>
  <si>
    <t>https://pustaka.bca.co.id/ESG/2026/File/20260212-SR25-BCA-EN.pdf</t>
  </si>
  <si>
    <t>MSCI ESG A; LSEG ESG Score 84; S&amp;P Global CSA Score 62 (87th percentile)</t>
  </si>
  <si>
    <t>PT Sejahtera Rambah Asia (SRAI)</t>
  </si>
  <si>
    <t>Sustainability consultancy</t>
  </si>
  <si>
    <t>Type 2: Customer Data Protection &amp; IT System Resilience; Service Excellence</t>
  </si>
  <si>
    <t>PDF p. 120-123 (statement); GRI 2-5 PDF p. 118; ratings PDF p. 9, 13</t>
  </si>
  <si>
    <t>BBNI</t>
  </si>
  <si>
    <t>Bank Negara Indonesia</t>
  </si>
  <si>
    <t>https://bni.co.id/portals/1/BNI/Perusahaan/HubunganInvestor/Docs/SR-BNI-2025-EN.pdf</t>
  </si>
  <si>
    <t>MSCI ESG A; Sustainalytics ESG Risk Rating 21.3 Medium Risk</t>
  </si>
  <si>
    <t>Type 2: Data Security &amp; Cyber Security; Green Portfolio Management</t>
  </si>
  <si>
    <t>PDF p. 190-193 (statement); GRI 2-5 PDF p. 50; ratings PDF p. 8</t>
  </si>
  <si>
    <t>BBRI</t>
  </si>
  <si>
    <t>Bank Rakyat Indonesia</t>
  </si>
  <si>
    <t>https://bri.co.id/documents/20123/56786/Sustainability%20Report%20BRI%20Tahun%202025_English.pdf</t>
  </si>
  <si>
    <t>S&amp;P Global CSA ESG Score 74; Sustainalytics ESG Risk Rating 18.4 Low Risk; MSCI ESG A</t>
  </si>
  <si>
    <t>Decar Verite Asia</t>
  </si>
  <si>
    <t>Green &amp; inclusive financing; financed emissions; consumer protection; risk &amp; crisis mgmt; anti-corruption</t>
  </si>
  <si>
    <t>PDF p. 293-295 (Decar); p. 296 (Sucofindo GHG); GRI 2-5 PDF p. 5</t>
  </si>
  <si>
    <t>BBTN</t>
  </si>
  <si>
    <t>Bank Tabungan Negara</t>
  </si>
  <si>
    <t>https://www.btn.co.id/en/about/investor-relation/company-report/sustainability-report</t>
  </si>
  <si>
    <t>MSCI ESG AA</t>
  </si>
  <si>
    <t>PT CBC Global Indonesia</t>
  </si>
  <si>
    <t>Natural Resource Use &amp; Environmental Mgmt (generic label); Information Security; Governance; Sustainable Products; Business Ethics; Sustainable Procurement</t>
  </si>
  <si>
    <t>PDF p. 267-272 (statement); GRI 2-5 PDF p. 266</t>
  </si>
  <si>
    <t>BMRI</t>
  </si>
  <si>
    <t>Bank Mandiri</t>
  </si>
  <si>
    <t>https://www.bankmandiri.co.id/documents/20143/572643040/Final_SR+Bank+Mandiri+2025+-+English_Medium.pdf/8b05cde2-44df-2a29-585d-9cccfaf0e30a?t=1782995503475</t>
  </si>
  <si>
    <t>MSCI ESG AA (upgraded from BBB, May 2025); Sustainalytics ESG Risk Rating 9.5 Negligible (Aug 2025); S&amp;P Global ESG Score 55</t>
  </si>
  <si>
    <t>PT Sucofindo</t>
  </si>
  <si>
    <t>ISAE 3000 + AA1000AS</t>
  </si>
  <si>
    <t>None</t>
  </si>
  <si>
    <t>PDF p. 449-450 (AA1000/ISAE 3000); p. 451 (GHG verification ISO 14064-3); GRI 2-5 PDF p. 40</t>
  </si>
  <si>
    <t>BRPT</t>
  </si>
  <si>
    <t>Barito Pacific</t>
  </si>
  <si>
    <t>Barito/Prajogo</t>
  </si>
  <si>
    <t>https://www.barito-pacific.com/uploads/investors/sustainability-report-260507032726SR%20Barito%20Pacific%202025_low.pdf</t>
  </si>
  <si>
    <t>MSCI ESG BBB (Barito Pacific); Sustainalytics ESG Risk Rating 16.4 Low Risk (Chandra Asri, subsidiary); ESG Risk Rating 17.3 (Star Energy Geothermal Wayang Windu, subsidiary)</t>
  </si>
  <si>
    <t>PDF p. 166 (GRI 2-5); ratings PDF p. 16, 52</t>
  </si>
  <si>
    <t>BUMI</t>
  </si>
  <si>
    <t>Bumi Resources</t>
  </si>
  <si>
    <t>Bakrie</t>
  </si>
  <si>
    <t>https://www.bumiresources.com/en/sustainability/reports</t>
  </si>
  <si>
    <t>PT Moores Rowland Indonesia</t>
  </si>
  <si>
    <t>Other audit firm (KAP)</t>
  </si>
  <si>
    <t>ISAE 3000</t>
  </si>
  <si>
    <t>Environmental management (no indicators listed); human rights performance</t>
  </si>
  <si>
    <t>PDF p. 266-267 (statement); GRI 2-5 PDF p. 24</t>
  </si>
  <si>
    <t>CPIN</t>
  </si>
  <si>
    <t>Charoen Pokphand Indonesia</t>
  </si>
  <si>
    <t>https://cp.co.id/wp-content/uploads/2026/04/Sustainability-Report-CPIN-2025.pdf</t>
  </si>
  <si>
    <t>PDF p. 122 (GRI 2-5)</t>
  </si>
  <si>
    <t>CUAN</t>
  </si>
  <si>
    <t>Petrindo Jaya Kreasi</t>
  </si>
  <si>
    <t>https://petrindo.co.id/laporan-keberlanjutan/</t>
  </si>
  <si>
    <t>PDF p. 86 (POJK G.1 index and GRI index; GRI 2-5 not listed)</t>
  </si>
  <si>
    <t>DEWA</t>
  </si>
  <si>
    <t>Darma Henwa</t>
  </si>
  <si>
    <t>https://www.ptdh.co.id/assets/files/sustain/Sustainability%20Report%202025%20-%20DEWA.pdf</t>
  </si>
  <si>
    <t>Environmental management (no indicators listed)</t>
  </si>
  <si>
    <t>PDF p. 174-175 (statement; printed p. 172-173); GRI 2-5 PDF p. 26</t>
  </si>
  <si>
    <t>EMTK</t>
  </si>
  <si>
    <t>Elang Mahkota Teknologi</t>
  </si>
  <si>
    <t>Technology</t>
  </si>
  <si>
    <t>Emtek</t>
  </si>
  <si>
    <t>https://cms.emtek.co.id/media/sustainability_reports_attachment_en/gbgb/SR-EMTEK-2025.pdf</t>
  </si>
  <si>
    <t>Sustainalytics ESG Risk Rating 14.17 Low Risk; S&amp;P Global CSA score 62 (also cites 'ESG score 63', provider unclear); S&amp;P Sustainability Yearbook 2026 member</t>
  </si>
  <si>
    <t>10 topik material (mis. Data Privacy &amp; Cybersecurity, Responsible Products, Governance, Supply Chain)</t>
  </si>
  <si>
    <t>PDF p. 173-174 (EN statement; printed p. 344-347); p. 175-176 (ID translation); GRI 2-5 PDF p. 14</t>
  </si>
  <si>
    <t>ESSA</t>
  </si>
  <si>
    <t>ESSA Industries Indonesia</t>
  </si>
  <si>
    <t>https://essa.sgp1.cdn.digitaloceanspaces.com/sustainability-reports/sr-2025.pdf</t>
  </si>
  <si>
    <t>PDF p. 123 (GRI 2-5/POJK G.1)</t>
  </si>
  <si>
    <t>EXCL</t>
  </si>
  <si>
    <t>XLSmart Telecom Sejahtera (formerly XL Axiata)</t>
  </si>
  <si>
    <t>Infrastructures</t>
  </si>
  <si>
    <t>https://static-cms-xlsmart.xlaxiata.my.id/production/2026/05/18/ac393977-dbd6-4422-bd81-24f8fa4d801b.pdf</t>
  </si>
  <si>
    <t>S&amp;P Global CSA score 43 (from 37); Sustainable Fitch ESG Entity Rating 2 (score 67); CDP Climate B; Sustainalytics ESG Risk 27.8 &amp; 28.3 Medium Risk (Apr 2024–Apr 2025)</t>
  </si>
  <si>
    <t>PDF p. 165 (GRI 2-5/POJK G.1); ratings PDF p. 19, 32, 43</t>
  </si>
  <si>
    <t>GOTO</t>
  </si>
  <si>
    <t>GoTo Gojek Tokopedia</t>
  </si>
  <si>
    <t>https://content.goinfra.co.id/asts/InvestorRelation/AnnualReport/2026-04-27/2025%20Sustainability%20Report.pdf</t>
  </si>
  <si>
    <t>S&amp;P Global CSA score 49 (91st percentile); MSCI ESG A; Sustainalytics ESG Risk Rating 18.6 Low Risk</t>
  </si>
  <si>
    <t>KAP Purwanto Susanti dan Surja (EY Indonesia)</t>
  </si>
  <si>
    <t>GRI 2-27 fines; 203-2 indirect economic impacts; 205-3 corruption incidents; 206-1 anti-competitive behaviour; 305-7 air emissions</t>
  </si>
  <si>
    <t>PDF p. 189-196 (assurance report); Appendix 1 PDF p. 197-204; GRI 2-5 PDF p. 21</t>
  </si>
  <si>
    <t>HRTA</t>
  </si>
  <si>
    <t>Hartadinata Abadi</t>
  </si>
  <si>
    <t>Consumer Cyclicals</t>
  </si>
  <si>
    <t>https://hartadinataabadi.co.id/download?filename=investor-report-file/8250/ARSRHRTA2025.pdf</t>
  </si>
  <si>
    <t>PDF p. 358 (POJK G.1)</t>
  </si>
  <si>
    <t>ICBP</t>
  </si>
  <si>
    <t>Indofood CBP Sukses Makmur</t>
  </si>
  <si>
    <t>Indofood</t>
  </si>
  <si>
    <t>https://www.indofoodcbp.com/cms/uploads/file/SR%20ICBP%202025.pdf</t>
  </si>
  <si>
    <t>Product safety, quality and halal</t>
  </si>
  <si>
    <t>PDF p. 4 (statement; printed p. 2); GRI 2-5 PDF p. 7</t>
  </si>
  <si>
    <t>INCO</t>
  </si>
  <si>
    <t>Vale Indonesia</t>
  </si>
  <si>
    <t>https://www.idx.co.id/StaticData/NewsAndAnnouncement/ANNOUNCEMENTSTOCK/From_EREP/202604/668820eaf0_e5ef4054b6.pdf</t>
  </si>
  <si>
    <t>Sustainalytics ESG Risk Rating 23.7 Medium Risk (29.4 in 2024)</t>
  </si>
  <si>
    <t>Type 2: Well-being and Inclusion</t>
  </si>
  <si>
    <t>PDF p. 185-186 (statement; p. 1 of 4 not included); GRI 2-5 PDF p. 153</t>
  </si>
  <si>
    <t>INDF</t>
  </si>
  <si>
    <t>Indofood Sukses Makmur</t>
  </si>
  <si>
    <t>https://www.indofood.com/uploads/file/SR%20ISM%202025.pdf</t>
  </si>
  <si>
    <t>PDF p. 4 (statement; printed p. 2); GRI 2-5 PDF p. 6</t>
  </si>
  <si>
    <t>INDY</t>
  </si>
  <si>
    <t>Indika Energy</t>
  </si>
  <si>
    <t>https://www.indikaenergy.co.id/wp-content/uploads/2026/04/Indika-Energy-2025-Sustainability-Report.pdf</t>
  </si>
  <si>
    <t>MSCI ESG Rating A (from BBB); Sustainalytics ESG Risk Rating 40.5; CDP Climate Change D, Water Security B-</t>
  </si>
  <si>
    <t>PT SGS Indonesia</t>
  </si>
  <si>
    <t>Land use and Biodiversity; Corporate Governance; Ethics and Compliance</t>
  </si>
  <si>
    <t>PDF p. 154-156 (statement); GRI 2-5 PDF p. 52-53; rating PDF p. 31; GHG table PDF p. 71</t>
  </si>
  <si>
    <t>INKP</t>
  </si>
  <si>
    <t>Indah Kiat Pulp &amp; Paper</t>
  </si>
  <si>
    <t>Sinar Mas</t>
  </si>
  <si>
    <t>https://www.idx.co.id/StaticData/NewsAndAnnouncement/ANNOUNCEMENTSTOCK/From_EREP/202604/d6a2c7e95a_d77e7a5b7b.pdf</t>
  </si>
  <si>
    <t>PDF p. 138 (GRI index 2-5 = N/A); POJK G.1 PDF p. 136</t>
  </si>
  <si>
    <t>ISAT</t>
  </si>
  <si>
    <t>Indosat</t>
  </si>
  <si>
    <t>https://www.idx.co.id/StaticData/NewsAndAnnouncement/ANNOUNCEMENTSTOCK/From_EREP/202604/545f8954f4_b3ac1c9786.pdf</t>
  </si>
  <si>
    <t>CSA score 30 (S&amp;P Global CSA, provider named only as 'CSA'); ESG Risk Score 29.6 (Sustainalytics format, provider not named)</t>
  </si>
  <si>
    <t>PT Keberlanjutan Menjaga Bumi (BATS Sustainability Assurer)</t>
  </si>
  <si>
    <t>Compliance with POJK 51, GRI, SASB, IFRS S1-S2/PSPK 1-2 (statement of conformity)</t>
  </si>
  <si>
    <t>PDF p. 201-204 (statement); GRI 2-5 PDF p. 15; ratings PDF p. 9</t>
  </si>
  <si>
    <t>ITMG</t>
  </si>
  <si>
    <t>Indo Tambangraya Megah</t>
  </si>
  <si>
    <t>https://www.itmg.co.id/files/sustainability_assets/ITM_SR_2025_web.pdf</t>
  </si>
  <si>
    <t>Sustainalytics ESG Risk Rating 31.8 (Mar 2025); S&amp;P Global CSA 52 (Oct 2025); FTSE Russell ESG 3.9 (Dec 2025)</t>
  </si>
  <si>
    <t>PT Bureau Veritas Indonesia</t>
  </si>
  <si>
    <t>GRI 2-27 compliance; 305-6/305-7 air emissions; 306-3 spills; Tier-1 Process Safety Event</t>
  </si>
  <si>
    <t>PDF p. 182-186 (statement); GRI 2-5 PDF p. 26; ratings PDF p. 4, 12</t>
  </si>
  <si>
    <t>JPFA</t>
  </si>
  <si>
    <t>Japfa Comfeed Indonesia</t>
  </si>
  <si>
    <t>https://d1be5sn7lppxuh.cloudfront.net/assets/files/files/sustainability/2025-sr-pt-japfa-tbk.pdf</t>
  </si>
  <si>
    <t>PDF p. 186 (GRI 2-5, EN version); PDF p. 36 (ID version)</t>
  </si>
  <si>
    <t>KLBF</t>
  </si>
  <si>
    <t>Kalbe Farma</t>
  </si>
  <si>
    <t>Healthcare</t>
  </si>
  <si>
    <t>https://www.kalbe.co.id/api-content/File/GetFile/SR2025%20(1).pdf</t>
  </si>
  <si>
    <t>PDF p. 97 (GRI 2-5/POJK G.1)</t>
  </si>
  <si>
    <t>MAPI</t>
  </si>
  <si>
    <t>Mitra Adiperkasa</t>
  </si>
  <si>
    <t>https://www.map.co.id/wp-content/uploads/2026/06/SR2025-MAPI-hires.pdf</t>
  </si>
  <si>
    <t>PDF p. 16 (GRI 2-5); POJK G.1 '-' PDF p. 49</t>
  </si>
  <si>
    <t>MBMA</t>
  </si>
  <si>
    <t>Merdeka Battery Materials</t>
  </si>
  <si>
    <t>Merdeka</t>
  </si>
  <si>
    <t>https://assets.merdekabattery.com/dist/documents/Sustainability%20Report%20MBMA%202025.pdf</t>
  </si>
  <si>
    <t>Sustainalytics ESG Risk Rating 34.07 (from 35.2; category not stated)</t>
  </si>
  <si>
    <t>17 topik material (mis. Toxic Emissions, Land Reclamation, Biodiversity, Human Rights)</t>
  </si>
  <si>
    <t>PDF p. 92-93 (statement; printed p. 180-183); GRI 2-5 PDF p. 13</t>
  </si>
  <si>
    <t>MDKA</t>
  </si>
  <si>
    <t>Merdeka Copper Gold</t>
  </si>
  <si>
    <t>https://merdekacoppergold.com/wp-content/uploads/2026/05/Sustainability-Report-PT-Merdeka-Copper-Gold-Tbk-2025.pdf</t>
  </si>
  <si>
    <t>MSCI ESG A; Sustainalytics ESG Risk Rating 27.8 Medium Risk; CDP Climate B-</t>
  </si>
  <si>
    <t>PDF p. 107-108 (statement; printed p. 210-213); GRI 2-5 PDF p. 15</t>
  </si>
  <si>
    <t>MEDC</t>
  </si>
  <si>
    <t>Medco Energi Internasional</t>
  </si>
  <si>
    <t>https://www.medcoenergi.com/uploads/sreports/2025/MEDC_SR2025_ENG.pdf</t>
  </si>
  <si>
    <t>MSCI ESG AAA; CDP Climate Change B</t>
  </si>
  <si>
    <t>GRI 2-7, 2-23/2-24, 203, 205, 305-7 (air emissions), 410, 413, 415; about 99 indicators with figures in Appendix 1</t>
  </si>
  <si>
    <t>EY report (MEDC website, 39 pp.): PDF p. 2-5 report, p. 6-39 Appendix 1; SR PDF p. 7 (summary), p. 75-78 (GHG)</t>
  </si>
  <si>
    <t>NCKL</t>
  </si>
  <si>
    <t>Trimegah Bangun Persada</t>
  </si>
  <si>
    <t>https://api.tbpnickel.com/storage/images/Keberlanjutan/Tentang%20Keberlanjutan/Laporan%20Keberlanjutan/Sustainability%20Report%202025%20-%20Harita%20Nickel.pdf</t>
  </si>
  <si>
    <t>GRI 202-1 wage ratio; 410-1 human rights training for security personnel</t>
  </si>
  <si>
    <t>PDF p. 249-256 (EY report); Appendix 1 PDF p. 257-259; PDF p. 260-263 (Intertek GHG); GRI 2-5 PDF p. 178</t>
  </si>
  <si>
    <t>PGAS</t>
  </si>
  <si>
    <t>Perusahaan Gas Negara</t>
  </si>
  <si>
    <t>Pertamina</t>
  </si>
  <si>
    <t>https://corporateweb-api.pgn.co.id/api/media/minio/download/51801</t>
  </si>
  <si>
    <t>Sustainalytics ESG Risk Rating 20.2 Medium Risk (as of Dec 2024)</t>
  </si>
  <si>
    <t>Type 2: Occupational Health and Safety</t>
  </si>
  <si>
    <t>PDF p. 188-191 (statement); GRI 2-5 PDF p. 7; rating PDF p. 21, 26</t>
  </si>
  <si>
    <t>PGEO</t>
  </si>
  <si>
    <t>Pertamina Geothermal Energy</t>
  </si>
  <si>
    <t>https://www.idx.co.id/StaticData/NewsAndAnnouncement/ANNOUNCEMENTSTOCK/From_EREP/202603/e1650efadf_9086c0e2b0.pdf</t>
  </si>
  <si>
    <t>Sustainalytics ESG Risk Rating 7.1 Negligible Risk; CDP Water Security B</t>
  </si>
  <si>
    <t>Type 2: OHS; Climate Change Action and Emission Reduction</t>
  </si>
  <si>
    <t>PDF p. 189-192 (statement); GRI 2-5 PDF p. 38; rating PDF p. 10, 13</t>
  </si>
  <si>
    <t>PTBA</t>
  </si>
  <si>
    <t>Bukit Asam</t>
  </si>
  <si>
    <t>https://www.ptba.co.id/api/storage/1780384306782-d5c6b039-414d-4b10-8891-08a71ca9a336.pdf</t>
  </si>
  <si>
    <t>CDP B (stated as 'maintaining a CDP rating at a B score')</t>
  </si>
  <si>
    <t>Biodiversity; supplier environmental assessment; CSR</t>
  </si>
  <si>
    <t>PDF p. 485-486 (statement); PDF p. 484 (introduction); GRI 2-5 PDF p. 24</t>
  </si>
  <si>
    <t>SCMA</t>
  </si>
  <si>
    <t>Surya Citra Media</t>
  </si>
  <si>
    <t>https://www.scm.co.id/files/uploads/pageattachment/uri/2026/Apr/29/69f2387f64ab3/laporan-keberlanjutan-scma-2025-final.pdf</t>
  </si>
  <si>
    <t>PDF p. 6 (GRI 2-5/POJK G.1)</t>
  </si>
  <si>
    <t>TLKM</t>
  </si>
  <si>
    <t>Telkom Indonesia</t>
  </si>
  <si>
    <t>https://www.telkom.co.id/minio/show/data/lampiran/1778605801197_original_TLKM-SR2025-IND.pdf</t>
  </si>
  <si>
    <t>Sustainalytics ESG Risk Rating 24.5 Medium Risk (from 25.6); MSCI ESG BBB (from A in 2024); CDP Climate Change B, Water C</t>
  </si>
  <si>
    <t>9 topik material (mis. Customer Experience, Cybersecurity, Digital Inclusivity, Regulatory Compliance)</t>
  </si>
  <si>
    <t>PDF p. 239-242 (AA1000); PDF p. 243-244 (GHG verification ISO 14064-3); GRI 2-5 PDF p. 10; rating PDF p. 23</t>
  </si>
  <si>
    <t>UNTR</t>
  </si>
  <si>
    <t>United Tractors</t>
  </si>
  <si>
    <t>https://www.unitedtractors.com/wp-content/uploads/2026/04/United-Tractors_2025SR.pdf</t>
  </si>
  <si>
    <t>PDF p. 266 (GRI 2-5/POJK G.1)</t>
  </si>
  <si>
    <t>UNVR</t>
  </si>
  <si>
    <t>Unilever Indonesia</t>
  </si>
  <si>
    <t>https://www.unilever.co.id/files/sustainability-report-2025.pdf</t>
  </si>
  <si>
    <t>9 topik material (mis. Positive Nutrition, Responsible Advertising, Sustainable Sourcing)</t>
  </si>
  <si>
    <t>PDF p. 315-318 (statement; printed p. 313-316); GRI 2-5 PDF p. 25</t>
  </si>
  <si>
    <t>WIFI</t>
  </si>
  <si>
    <t>Solusi Sinergi Digital</t>
  </si>
  <si>
    <t>https://www.surge.co.id/pdf/Investor%20Relations/Annual%20Report%202025/Surge_AR_2025_240626.pdf</t>
  </si>
  <si>
    <t>PDF p. 222 (POJK index: verification shown as '-')</t>
  </si>
  <si>
    <t>GHG reconciliation: each FY2025 report read against itself</t>
  </si>
  <si>
    <t>Reports are anonymised and in random order. Issuer names, figures and page references are withheld; results are reported in aggregate only.</t>
  </si>
  <si>
    <t>Report</t>
  </si>
  <si>
    <t>GHG assured</t>
  </si>
  <si>
    <t>Sum check</t>
  </si>
  <si>
    <t>Breakdown check</t>
  </si>
  <si>
    <t>Narrative check</t>
  </si>
  <si>
    <t>Change check</t>
  </si>
  <si>
    <t>Intensity check</t>
  </si>
  <si>
    <t>Plausibility flag</t>
  </si>
  <si>
    <t>Boundary type</t>
  </si>
  <si>
    <t>Inferred omission</t>
  </si>
  <si>
    <t>Prior-year flag</t>
  </si>
  <si>
    <t>Editorial flag</t>
  </si>
  <si>
    <t>Accuracy flag</t>
  </si>
  <si>
    <t>Consistency flag</t>
  </si>
  <si>
    <t>Completeness flag</t>
  </si>
  <si>
    <t>Passes all lenses</t>
  </si>
  <si>
    <t>R01</t>
  </si>
  <si>
    <t>Match</t>
  </si>
  <si>
    <t>Mismatch</t>
  </si>
  <si>
    <t>R02</t>
  </si>
  <si>
    <t>Disclosed limitation</t>
  </si>
  <si>
    <t>R03</t>
  </si>
  <si>
    <t>R04</t>
  </si>
  <si>
    <t>R05</t>
  </si>
  <si>
    <t>Material</t>
  </si>
  <si>
    <t>R06</t>
  </si>
  <si>
    <t>R07</t>
  </si>
  <si>
    <t>R08</t>
  </si>
  <si>
    <t>Non-standard or undisclosed</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</si>
  <si>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</si>
  <si>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</si>
  <si>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</si>
  <si>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</si>
  <si>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</si>
  <si>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</si>
  <si>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</si>
  <si>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</si>
  <si>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</si>
  <si>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</si>
  <si>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</si>
  <si>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</si>
  <si>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</si>
  <si>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</si>
  <si>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</si>
  <si>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</si>
  <si>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</si>
  <si>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</si>
  <si>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</si>
  <si>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</si>
  <si>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</si>
  <si>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</si>
  <si>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</si>
  <si>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</si>
  <si>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</si>
  <si>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Minor</t>
  </si>
  <si>
    <t>R34</t>
  </si>
  <si>
    <t>R35</t>
  </si>
  <si>
    <t>R36</t>
  </si>
  <si>
    <t>R37</t>
  </si>
  <si>
    <t>R38</t>
  </si>
  <si>
    <t>R39</t>
  </si>
  <si>
    <t>R40</t>
  </si>
  <si>
    <t>R41</t>
  </si>
  <si>
    <t>R42</t>
  </si>
  <si>
    <t>R43</t>
  </si>
  <si>
    <t>R44</t>
  </si>
  <si>
    <t>R45</t>
  </si>
  <si>
    <t>Check definitions</t>
  </si>
  <si>
    <t>Column</t>
  </si>
  <si>
    <t>What is tested</t>
  </si>
  <si>
    <t>Values</t>
  </si>
  <si>
    <t>Reported total equals the sum of the scopes it includes</t>
  </si>
  <si>
    <t>Match within 0.1% or rounding; Minor up to 1%; Material above 1%; N/A if no total</t>
  </si>
  <si>
    <t>Breakdowns (by source, gas, entity or category) equal the scope subtotal; the same figure agrees across tables</t>
  </si>
  <si>
    <t>Match; Mismatch; Material; N/A</t>
  </si>
  <si>
    <t>Figures and claims in the text match the tables, including 'on track' or 'fell x%' claims</t>
  </si>
  <si>
    <t>Match; Mismatch; N/A</t>
  </si>
  <si>
    <t>Stated percentage changes recalculate</t>
  </si>
  <si>
    <t>Match within 0.5 percentage points; Mismatch; N/A</t>
  </si>
  <si>
    <t>Intensity equals the stated numerator over the stated denominator; basis consistent across years</t>
  </si>
  <si>
    <t>Match within last-digit rounding; Mismatch; N/A</t>
  </si>
  <si>
    <t>Magnitude or unit is implausible for the business, or energy and emissions tables are inconsistent</t>
  </si>
  <si>
    <t>Y; N</t>
  </si>
  <si>
    <t>Boundary or method departs from the GHG Protocol or is not disclosed. A disclosed limitation is not a finding</t>
  </si>
  <si>
    <t>None; Disclosed limitation; Non-standard or undisclosed</t>
  </si>
  <si>
    <t>A material source appears to be missing, inferred from the report's own definitions (e.g. coal mine methane). Reported apart from the lenses</t>
  </si>
  <si>
    <t>Inconsistency in comparative-year figures. Not counted as a flag</t>
  </si>
  <si>
    <t>Placeholder, wrong year, unit label or number format. Not counted as a flag</t>
  </si>
  <si>
    <t>Lens 1, calculated. 1 if Sum check or Breakdown check is Mismatch or Material</t>
  </si>
  <si>
    <t>1; 0; N/A if neither can be tested</t>
  </si>
  <si>
    <t>Lens 2, calculated. 1 if Narrative, Change or Intensity check is Mismatch or Material</t>
  </si>
  <si>
    <t>1; 0; N/A if none can be tested</t>
  </si>
  <si>
    <t>Lens 3, calculated. 1 if Plausibility flag = Y or Boundary type = 'Non-standard or undisclosed'</t>
  </si>
  <si>
    <t>1; 0</t>
  </si>
  <si>
    <t>Calculated. Y if no lens is flagged and there is no inferred omission</t>
  </si>
  <si>
    <t>Codebook: field definitions and coding rules</t>
  </si>
  <si>
    <t>Only what is written in the report or statement is coded. If something is not stated, it is coded Not stated, not guessed.</t>
  </si>
  <si>
    <t>Field</t>
  </si>
  <si>
    <t>Definition</t>
  </si>
  <si>
    <t>Allowed values</t>
  </si>
  <si>
    <t>Used in</t>
  </si>
  <si>
    <t>IDX ticker of the LQ45 constituent.</t>
  </si>
  <si>
    <t>Text</t>
  </si>
  <si>
    <t>All</t>
  </si>
  <si>
    <t>Company name; former names in brackets.</t>
  </si>
  <si>
    <t>IDX-IC sector.</t>
  </si>
  <si>
    <t>9 IDX-IC sectors</t>
  </si>
  <si>
    <t>Exhibit 3</t>
  </si>
  <si>
    <t>Business group with more than one LQ45 member, where one applies. State-owned banks and Telkom are not grouped; see State-owned.</t>
  </si>
  <si>
    <t>Text or blank</t>
  </si>
  <si>
    <t>Y if the issuer is a state-owned enterprise or the subsidiary of one (e.g. via MIND ID or Pertamina).</t>
  </si>
  <si>
    <t>Where FY2025 sustainability information is published.</t>
  </si>
  <si>
    <t>Standalone SR; Integrated in AR</t>
  </si>
  <si>
    <t>Link to the FY2025 report that was coded.</t>
  </si>
  <si>
    <t>URL</t>
  </si>
  <si>
    <t>Date the report was downloaded.</t>
  </si>
  <si>
    <t>Date</t>
  </si>
  <si>
    <t>What the external statement claims to be. 'Independent assurance': gives an assurance or verification conclusion and names a standard, including ISO 14064-3 GHG verifications (Rule 2). 'Verification only': no standard and/or no conclusion. 'None found': no external statement. With more than one statement, the broadest one is coded (Rule 1).</t>
  </si>
  <si>
    <t>Independent assurance; Verification only; Internal review only; None found</t>
  </si>
  <si>
    <t>Exhibit 1</t>
  </si>
  <si>
    <t>Calculated. Y if Assurance category is Independent assurance or Verification only.</t>
  </si>
  <si>
    <t>Y if the report cites a third-party ESG rating or score. A rating is not assurance (Rule 10). PROPER and awards do not count.</t>
  </si>
  <si>
    <t>Section 02</t>
  </si>
  <si>
    <t>Ratings as cited in the report.</t>
  </si>
  <si>
    <t>Text; N/A</t>
  </si>
  <si>
    <t>Firm that signed the statement, as written.</t>
  </si>
  <si>
    <t>Text; Not stated; N/A</t>
  </si>
  <si>
    <t>Section 10</t>
  </si>
  <si>
    <t>Big 4 network = member firm of Deloitte, EY, KPMG or PwC, including Indonesian KAP and advisory entities (Rule 3). Other audit firm (KAP) = other public accounting firms and their networks (Rule 16). Certification/inspection body and Sustainability consultancy as named.</t>
  </si>
  <si>
    <t>Big 4 network; Other audit firm (KAP); Certification/inspection body; Sustainability consultancy; Not stated; N/A</t>
  </si>
  <si>
    <t>Exhibits 4, 6</t>
  </si>
  <si>
    <t>Standard(s) named in the statement. IAPI SPA 3000/3410 are coded as ISAE 3000/3410 (Rule 13).</t>
  </si>
  <si>
    <t>ISAE 3000; ISAE 3000 + ISAE 3410; ISAE 3000 + AA1000AS; AA1000AS v3; Other; Not stated; N/A</t>
  </si>
  <si>
    <t>Exhibit 4</t>
  </si>
  <si>
    <t>Only where AA1000AS is used: Type 1 (principles) or Type 2 (principles and specified performance information) (Rule 14).</t>
  </si>
  <si>
    <t>Type 1; Type 2; N/A</t>
  </si>
  <si>
    <t>Level as stated. ISAE uses limited or reasonable; AA1000AS uses moderate or high. Levels are not translated between standards (Rule 24).</t>
  </si>
  <si>
    <t>Limited; Reasonable; Moderate (AA1000); High (AA1000); Not stated; N/A</t>
  </si>
  <si>
    <t>Whole report, or the indicators named in the statement. Explicit 'all information in the report' = Whole report (Rule 19).</t>
  </si>
  <si>
    <t>Whole report; Selected indicators; GHG only; N/A</t>
  </si>
  <si>
    <t>Section 05</t>
  </si>
  <si>
    <t>Scope 1 disclosed / Scope 2 disclosed / Scope 3 disclosed</t>
  </si>
  <si>
    <t>Coded for all 45 issuers. Y if the report gives an absolute FY2025 figure in tCO2e for that scope; intensity only = N (Rules 5, 6, 18).</t>
  </si>
  <si>
    <t>Y; N; N/A</t>
  </si>
  <si>
    <t>Exhibit 5</t>
  </si>
  <si>
    <t>Scope 1 assured / Scope 2 assured / Scope 3 assured</t>
  </si>
  <si>
    <t>Y if the scope is explicitly in the subject matter of any external statement in the report (Rule 1). Only part of a scope assured = N (Rule 17).</t>
  </si>
  <si>
    <t>Energy assured / Water assured / Waste assured / Social assured</t>
  </si>
  <si>
    <t>Y if explicitly in the assured subject matter. Generic labels such as Environmental management = N (Rule 15).</t>
  </si>
  <si>
    <t>Other assured topics, as listed in the statement.</t>
  </si>
  <si>
    <t>The provider itself declares independence (Rule 21).</t>
  </si>
  <si>
    <t>Y; N; Not clear; N/A</t>
  </si>
  <si>
    <t>Exhibit 6 (C1)</t>
  </si>
  <si>
    <t>The statement describes the team's qualifications. Shown for information; not scored (Rule 22).</t>
  </si>
  <si>
    <t>Section 06</t>
  </si>
  <si>
    <t>The statement names a quality management standard (e.g. ISQM 1) or an ethics code (e.g. IESBA). Generic wording = Not clear (Rule 23).</t>
  </si>
  <si>
    <t>Exhibit 6 (C2)</t>
  </si>
  <si>
    <t>Unmodified, Modified, or Not clear where the conclusion is not visible or not explicit (Rule 26).</t>
  </si>
  <si>
    <t>Unmodified; Modified; Not clear; N/A</t>
  </si>
  <si>
    <t>Exhibit 6 (C5)</t>
  </si>
  <si>
    <t>Y if any statement in the report lists the figures it assured, including in an appendix that forms part of it (Rules 1, 8, 26).</t>
  </si>
  <si>
    <t>Exhibit 6 (P2)</t>
  </si>
  <si>
    <t>Scope 1 figures listed / Scope 2 figures listed / Scope 3 figures listed</t>
  </si>
  <si>
    <t>Y if a statement lists the assured figure for that scope. Added for the public release so that Exhibit 5 can be counted by scope.</t>
  </si>
  <si>
    <t>Only where figures are listed: do they equal the report body (Rule 8)?</t>
  </si>
  <si>
    <t>Y; N; Partly; N/A</t>
  </si>
  <si>
    <t>PDF page as shown by the PDF viewer, not the printed page number (Rule 4).</t>
  </si>
  <si>
    <t>C1 Independence ... C5 Conclusion</t>
  </si>
  <si>
    <t>Calculated readiness criteria, 1 = met, 0 = not met, blank = no external statement. 'Not clear' counts as not met (Rule 28). Definitions in the Exhibit 6 tab.</t>
  </si>
  <si>
    <t>1; 0; blank</t>
  </si>
  <si>
    <t>Exhibit 6</t>
  </si>
  <si>
    <t>Calculated. C1 + C2 + C3 + C4 + C5.</t>
  </si>
  <si>
    <t>0 to 5</t>
  </si>
  <si>
    <t>P1 Scope 1 and 2 / P2 Figures</t>
  </si>
  <si>
    <t>Calculated PSPK criteria. P1 = Scope 1 assured and Scope 2 assured (or not applicable). P2 = Figures listed.</t>
  </si>
  <si>
    <t>PSPK score / Total score</t>
  </si>
  <si>
    <t>Calculated. P1 + P2, and Core score + PSPK score.</t>
  </si>
  <si>
    <t>0 to 2; 0 to 7</t>
  </si>
  <si>
    <t>Calculated. Y if Core score = 5.</t>
  </si>
  <si>
    <t>Y; N; blank</t>
  </si>
  <si>
    <t>Exhibits 1, 6</t>
  </si>
  <si>
    <t>Coding rules</t>
  </si>
  <si>
    <t>Rule</t>
  </si>
  <si>
    <t>Rule text</t>
  </si>
  <si>
    <t>Applies to</t>
  </si>
  <si>
    <t>Status</t>
  </si>
  <si>
    <t>More than one statement (e.g. an ISO 14064-3 GHG verification plus an AA1000 assurance of the report): the columns from Assurance category to Conclusion follow the statement with the broadest scope, except that (a) metric columns (Scope 1 to 3, Energy, Water, Waste, Social, Other) are Y if any statement covers them, and (b) Figures listed is Y if any statement lists assured figures; Figures match report is then checked against that statement.</t>
  </si>
  <si>
    <t>Assurance columns; metric columns; Figures listed; Figures match report</t>
  </si>
  <si>
    <t>Revised 23 Oct 2026</t>
  </si>
  <si>
    <t>An ISO 14064-3 statement called 'verification' is still coded Independent assurance if it gives a conclusion and names its standard. 'Verification only' applies only where there is no standard and/or no conclusion.</t>
  </si>
  <si>
    <t>Agreed 21 Oct 2026</t>
  </si>
  <si>
    <t>Big 4 mapping in Indonesia: KAP Rintis, Jumadi, Rianto &amp; Rekan (formerly KAP Tanudiredja, Wibisana, Rintis &amp; Rekan) = PwC; KAP Purwanto Susanti dan Surja (formerly KAP Purwantono, Sungkoro &amp; Surja) = EY; KAP Siddharta Widjaja &amp; Rekan = KPMG; KAP Imelda &amp; Rekan = Deloitte. Consulting or advisory entities of the same network are also Big 4 network.</t>
  </si>
  <si>
    <t>Revised 21 Oct 2026</t>
  </si>
  <si>
    <t>Page references use the PDF file page shown by the PDF viewer, not the number printed on the page.</t>
  </si>
  <si>
    <t>Where there is no external statement (None found or Internal review only), all assurance columns are N/A rather than N, so that the gap analysis compares only existing statements. Scope disclosure is still coded Y/N for all 45 issuers, so that disclosed-but-not-assured can be counted across the market.</t>
  </si>
  <si>
    <t>Provider type to Figures match report; Scope disclosed</t>
  </si>
  <si>
    <t>Scope disclosed = Y where there is an absolute FY2025 tCO2e figure for that scope, even if Scope 3 covers only some categories. Intensity only = N. Either Scope 2 method (location- or market-based) counts. A per-scope figure that can be calculated from a stated absolute total and stated percentage shares also counts (e.g. ICBP).</t>
  </si>
  <si>
    <t>Scope disclosed</t>
  </si>
  <si>
    <t>Only the issuer's own report is coded. Assurance held by a parent or group and not included in the issuer's report is not counted.</t>
  </si>
  <si>
    <t>Figures listed = Y where the statement lists the assured figures. Figures match report is filled only when Figures listed = Y, otherwise N/A. 'Not checked' = figures listed but could not be compared.</t>
  </si>
  <si>
    <t>Figures listed; Figures match report</t>
  </si>
  <si>
    <t>Reports linked from the IDX website rather than the issuer website are used as they are. If the document turns out to be an annual report, Report type is changed to match its content.</t>
  </si>
  <si>
    <t>Report link; Report type</t>
  </si>
  <si>
    <t>An ESG rating is not assurance and is not an Assurance category. Ratings are recorded separately in ESG rating cited (Y/N, all issuers) and Ratings cited. An issuer can have both. PROPER and awards are not counted as ESG ratings.</t>
  </si>
  <si>
    <t>ESG rating cited; Ratings cited; Assurance category</t>
  </si>
  <si>
    <t>Provider type = Not stated where the report mentions external verification or assurance but does not name the provider.</t>
  </si>
  <si>
    <t>Provider; Provider type</t>
  </si>
  <si>
    <t>'Internal review only' applies only where internal audit reviewed the report data. Review by a business unit or the corporate secretary, or Board approval, does not count and is coded None found.</t>
  </si>
  <si>
    <t>IAPI SPA 3000 (Revised) and SPA 3410 adopt ISAE 3000 and 3410 and are coded as ISAE. A statement using both (3000 for general metrics, 3410 for GHG) is coded 'ISAE 3000 + ISAE 3410'.</t>
  </si>
  <si>
    <t>AA1000AS Type 1 on the report plus Type 2 on some topics: AA1000 type = Type 2 and Subject matter = Selected indicators. Topics under Type 1 only (adherence to principles) are not counted as assured metrics.</t>
  </si>
  <si>
    <t>AA1000 type; Subject matter; metric columns</t>
  </si>
  <si>
    <t>Metric columns (Scope, Energy, Water, Waste) are Y only if the topic or indicator is named explicitly (e.g. 'Water &amp; Air' gives Water Y; 'Decarbonization' or 'GHG Emission' gives Scope Y). Generic labels such as 'Environmental management' or 'Natural Resource Use' are N and recorded under Other assured topics.</t>
  </si>
  <si>
    <t>Scope, Energy, Water, Waste assured; Other assured topics</t>
  </si>
  <si>
    <t>A provider that is not itself a KAP (e.g. a PT) but belongs to a network that has a KAP is coded by its network, consistent with Rule 3.</t>
  </si>
  <si>
    <t>Where only part of one scope is assured or verified (e.g. only coal power plant emissions within Scope 1), that scope is N; the covered part is recorded under Other assured topics.</t>
  </si>
  <si>
    <t>Scope assured</t>
  </si>
  <si>
    <t>Scope 2 in off-grid operations: if the report gives a figure (including 0), Scope 2 disclosed = Y; if the report states Scope 2 is not calculated or not relevant, without a figure, N/A.</t>
  </si>
  <si>
    <t>A subject matter that explicitly covers 'all sustainability data or information in the report' is Whole report, and every metric column whose figures are disclosed is Y. Generic topic labels stay N (Rule 15). Basis: ISSA 5000 para 190(c)(iv) allows the assured information to be identified or described.</t>
  </si>
  <si>
    <t>Subject matter; metric columns</t>
  </si>
  <si>
    <t>Agreed 23 Oct 2026</t>
  </si>
  <si>
    <t>Exception to Rule 7: a full assurance report published by the issuer itself (e.g. on its website) and referred to from the sustainability report is coded; its location is given in Assurance page reference. Parent or group assurance is still not counted.</t>
  </si>
  <si>
    <t>Assurance columns</t>
  </si>
  <si>
    <t>Independence statement = Y where the provider itself states independence or freedom from conflicts of interest. 'Not clear' where only the issuer makes the claim or the statement pages are incomplete. N where there is none.</t>
  </si>
  <si>
    <t>Competence statement = Y where the statement describes the team's qualifications, certifications or experience. A general description of the firm only = N. Shown for information and not scored, since it is not a required element of an ISSA 5000 report.</t>
  </si>
  <si>
    <t>QM or ethics reference = Y where a named quality management system or standard, or a named ethics code, is cited (e.g. SQM 1/ISQM 1, IAPI Code of Ethics, IESBA, AccountAbility independence and quality rules, ISO 9001 plus the IFIA code). Generic references ('ethical requirements', 'professional code of ethics') = Not clear. None = N.</t>
  </si>
  <si>
    <t>Assurance level is coded in the statement's own terms, not translated between standards. Where terms are mixed (e.g. 'moderate' and 'limited'), the standard used decides (AA1000 gives Moderate).</t>
  </si>
  <si>
    <t>Where there is a statement but Scope disclosed = N, Scope assured = N (not N/A). N/A applies only where there is no statement (Rule 5) or the scope is not calculated or not relevant (Rule 18).</t>
  </si>
  <si>
    <t>Figures listed includes figures in an appendix that forms part of the statement (e.g. Appendix 1 of an EY report). Conclusion = 'Not clear' where the conclusion text is not visible or not explicit in the coded document.</t>
  </si>
  <si>
    <t>Figures listed; Conclusion</t>
  </si>
  <si>
    <t>Each coded statement was supported by a short verbatim quote (under 15 words) in the working file. Quotes are not included in this release.</t>
  </si>
  <si>
    <t>Working file only</t>
  </si>
  <si>
    <t>Readiness scoring: 5 ISSA 5000 core criteria and 2 PSPK criteria, defined in the Exhibit 6 tab. 'Not clear' counts as not met. Competence is not scored (Rule 22).</t>
  </si>
  <si>
    <t>Readiness criteria</t>
  </si>
  <si>
    <t>A second check compared provider, standard, level and Scope 1 to 3 against the cited page. Check status is kept in the working file only.</t>
  </si>
  <si>
    <t>Exhibit 1. Four ISSA-ready statements among 45 LQ45 issuers</t>
  </si>
  <si>
    <t>LQ45 issuers by FY2025 assurance status, n = 45</t>
  </si>
  <si>
    <t>Issuers</t>
  </si>
  <si>
    <t>Share</t>
  </si>
  <si>
    <t>ISSA-ready statement</t>
  </si>
  <si>
    <t>Other independent assurance</t>
  </si>
  <si>
    <t>No external statement</t>
  </si>
  <si>
    <t>All issuers</t>
  </si>
  <si>
    <t>Exhibit 2. Indonesian limited assurance arrives with Singapore and a year after Malaysia</t>
  </si>
  <si>
    <t>Standards and regulations for sustainability assurance. Not calculated from the data; see Sources.</t>
  </si>
  <si>
    <t>Event</t>
  </si>
  <si>
    <t>Issuer or body</t>
  </si>
  <si>
    <t>Source</t>
  </si>
  <si>
    <t>SAKb 5000 exposure draft</t>
  </si>
  <si>
    <t>IAPI</t>
  </si>
  <si>
    <t>24 Jul 2026</t>
  </si>
  <si>
    <t>IAPI single sustainability assurance standard proposal</t>
  </si>
  <si>
    <t>ISSA 5000 takes effect</t>
  </si>
  <si>
    <t>IAASB</t>
  </si>
  <si>
    <t>15 Dec 2026</t>
  </si>
  <si>
    <t>RSM: IAASB and IESBA issue sustainability assurance standards</t>
  </si>
  <si>
    <t>PSPK 1 and 2 take effect</t>
  </si>
  <si>
    <t>IAI</t>
  </si>
  <si>
    <t>1 Jan 2027</t>
  </si>
  <si>
    <t>IAI: PSPK 1 and 2</t>
  </si>
  <si>
    <t>First Group 1 reporting year</t>
  </si>
  <si>
    <t>OJK draft POJK</t>
  </si>
  <si>
    <t>FY2027</t>
  </si>
  <si>
    <t>OJK: draft POJK on sustainable finance, Art. 8(2)(a) and Art. 29</t>
  </si>
  <si>
    <t>Malaysia: reasonable assurance, ISSA 5000 only</t>
  </si>
  <si>
    <t>SC Malaysia</t>
  </si>
  <si>
    <t>2028</t>
  </si>
  <si>
    <t>SC Malaysia: mandatory sustainability assurance from 2028</t>
  </si>
  <si>
    <t>Indonesia: limited assurance for Group 1</t>
  </si>
  <si>
    <t>As reported by IAPI</t>
  </si>
  <si>
    <t>2029</t>
  </si>
  <si>
    <t>IAPI; the date was not found in the OJK draft text reviewed</t>
  </si>
  <si>
    <t>Singapore: limited assurance, Scope 1 and 2</t>
  </si>
  <si>
    <t>ACRA and SGX RegCo</t>
  </si>
  <si>
    <t>FY2029</t>
  </si>
  <si>
    <t>Allen &amp; Gledhill: Singapore climate reporting timelines</t>
  </si>
  <si>
    <t>Exhibit 3. Every financial and technology issuer has a statement; no healthcare or consumer cyclical issuer does</t>
  </si>
  <si>
    <t>Share of LQ45 issuers with an external statement on FY2025 data</t>
  </si>
  <si>
    <t>Ownership</t>
  </si>
  <si>
    <t>With statement</t>
  </si>
  <si>
    <t>Private</t>
  </si>
  <si>
    <t>Business groups (section 03): every member shares the same status</t>
  </si>
  <si>
    <t>Members</t>
  </si>
  <si>
    <t>Same status</t>
  </si>
  <si>
    <t>Groups with two or more members</t>
  </si>
  <si>
    <t>Of which every member shares the same status</t>
  </si>
  <si>
    <t>Exhibit 4. Big 4 statements all end at limited assurance; non-audit statements all end at moderate</t>
  </si>
  <si>
    <t>FY2025 external statements by provider type, standard and level, n = 27</t>
  </si>
  <si>
    <t>Statements</t>
  </si>
  <si>
    <t>Reasonable</t>
  </si>
  <si>
    <t>High (AA1000)</t>
  </si>
  <si>
    <t>Statements needing both a new standard and a new level (C3 = 0 and C4 = 0)</t>
  </si>
  <si>
    <t>Exhibit 5. At every scope, about half is assured and a third of that is listed</t>
  </si>
  <si>
    <t>LQ45 issuers by GHG scope: disclosed, assured, and assured figures listed in the statement, n = 45</t>
  </si>
  <si>
    <t>Scope</t>
  </si>
  <si>
    <t>Disclosed</t>
  </si>
  <si>
    <t>Assured</t>
  </si>
  <si>
    <t>Assured of disclosed</t>
  </si>
  <si>
    <t>Listed of assured</t>
  </si>
  <si>
    <t>Scope 1</t>
  </si>
  <si>
    <t>Scope 2</t>
  </si>
  <si>
    <t>Scope 3</t>
  </si>
  <si>
    <t>Exhibit 6. Standard, level and quality framework are the emptiest columns</t>
  </si>
  <si>
    <t>FY2025 external statements by readiness criterion, n = 27. Statement-level scores are in the Data tab.</t>
  </si>
  <si>
    <t>Code</t>
  </si>
  <si>
    <t>Group</t>
  </si>
  <si>
    <t>Criterion</t>
  </si>
  <si>
    <t>Met when</t>
  </si>
  <si>
    <t>Statements meeting</t>
  </si>
  <si>
    <t>C1</t>
  </si>
  <si>
    <t>ISSA 5000 core</t>
  </si>
  <si>
    <t>Independence</t>
  </si>
  <si>
    <t>The statement declares independence or compliance with ethical requirements; generic wording counts</t>
  </si>
  <si>
    <t>C2</t>
  </si>
  <si>
    <t>Quality management framework</t>
  </si>
  <si>
    <t>ISQM 1, the IESBA Code or an equivalent is named</t>
  </si>
  <si>
    <t>C3</t>
  </si>
  <si>
    <t>Level</t>
  </si>
  <si>
    <t>Limited or reasonable assurance</t>
  </si>
  <si>
    <t>C4</t>
  </si>
  <si>
    <t>Based on ISAE 3000 or 3410 (SPA 3000 or 3410)</t>
  </si>
  <si>
    <t>C5</t>
  </si>
  <si>
    <t>A clear limited or reasonable conclusion is expressed</t>
  </si>
  <si>
    <t>P1</t>
  </si>
  <si>
    <t>PSPK</t>
  </si>
  <si>
    <t>Scope 1 and 2</t>
  </si>
  <si>
    <t>Both scopes are assured</t>
  </si>
  <si>
    <t>P2</t>
  </si>
  <si>
    <t>Figures</t>
  </si>
  <si>
    <t>The assured figures are listed in the statement</t>
  </si>
  <si>
    <t>Average core score</t>
  </si>
  <si>
    <t>Competence described</t>
  </si>
  <si>
    <t>Exhibit 7. Assured reports are flagged about as often as non-assured ones, or more</t>
  </si>
  <si>
    <t>Share of FY2025 GHG reports with at least one flag, by lens. Small groups; descriptive, not causal.</t>
  </si>
  <si>
    <t>Lens</t>
  </si>
  <si>
    <t>Assured flagged</t>
  </si>
  <si>
    <t>Assured testable</t>
  </si>
  <si>
    <t>Not assured flagged</t>
  </si>
  <si>
    <t>Not assured testable</t>
  </si>
  <si>
    <t>All flagged</t>
  </si>
  <si>
    <t>All testable</t>
  </si>
  <si>
    <t>Accuracy</t>
  </si>
  <si>
    <t>Consistency</t>
  </si>
  <si>
    <t>Completeness</t>
  </si>
  <si>
    <t>Not assured</t>
  </si>
  <si>
    <t>GHG assured = any scope assured. In this sample it is the same set as Scope 1 assured (20 reports).</t>
  </si>
  <si>
    <t>Figures quoted in the report text</t>
  </si>
  <si>
    <t>Every number in the report text that is not shown in an exhibit, with the formula behind it.</t>
  </si>
  <si>
    <t>Section</t>
  </si>
  <si>
    <t>Figure</t>
  </si>
  <si>
    <t>Value</t>
  </si>
  <si>
    <t>Base</t>
  </si>
  <si>
    <t>01, 03</t>
  </si>
  <si>
    <t>Issuers with an external statement</t>
  </si>
  <si>
    <t>45 issuers</t>
  </si>
  <si>
    <t>02</t>
  </si>
  <si>
    <t>Issuers citing an ESG rating</t>
  </si>
  <si>
    <t>Issuers with a rating or a statement</t>
  </si>
  <si>
    <t>05</t>
  </si>
  <si>
    <t>Scope 1 engagements that do not list the figures</t>
  </si>
  <si>
    <t>Whole-report statements that do not list figures</t>
  </si>
  <si>
    <t>Whole-report statements</t>
  </si>
  <si>
    <t>Statements that assure no GHG scope</t>
  </si>
  <si>
    <t>27 statements</t>
  </si>
  <si>
    <t>Listed figures that match the report body</t>
  </si>
  <si>
    <t>Statements listing figures</t>
  </si>
  <si>
    <t>06</t>
  </si>
  <si>
    <t>Statements that describe team competence</t>
  </si>
  <si>
    <t>07</t>
  </si>
  <si>
    <t>Reports passing all three lenses with no inferred omission</t>
  </si>
  <si>
    <t>45 reports</t>
  </si>
  <si>
    <t>Reports with an inferred omission</t>
  </si>
  <si>
    <t>Coal-mining reports where coal mine methane is not visible</t>
  </si>
  <si>
    <t>7 coal-mining reports; counted in the working file, issuer detail withheld</t>
  </si>
  <si>
    <t>Reports with an editorial slip (not a flag)</t>
  </si>
  <si>
    <t>Reports with a prior-year inconsistency (not a flag)</t>
  </si>
  <si>
    <t>Assurance conclusions that are modified</t>
  </si>
  <si>
    <t>08</t>
  </si>
  <si>
    <t>Statements that miss at least one core criterion</t>
  </si>
  <si>
    <t>Issuers needing a new or changed engagement</t>
  </si>
  <si>
    <t>Public documents only.</t>
  </si>
  <si>
    <t>No</t>
  </si>
  <si>
    <t>Publisher</t>
  </si>
  <si>
    <t>Link</t>
  </si>
  <si>
    <t>LQ45 constituents for 3 Aug to 30 Oct 2026</t>
  </si>
  <si>
    <t>Bisnis.com</t>
  </si>
  <si>
    <t>https://market.bisnis.com/read/20260901/7/2000569/daftar-saham-paling-cuan-dan-boncos-di-lq45-agustus-2026</t>
  </si>
  <si>
    <t>LQ45, IDX30 and IDX80 changes effective 3 Aug 2026</t>
  </si>
  <si>
    <t>Fortune IDN</t>
  </si>
  <si>
    <t>https://www.fortuneidn.com/market/bei-ubah-konstituen-lq45-idx30-idx80-d7w02-00-lflgw-zklmt1</t>
  </si>
  <si>
    <t>Issuer FY2025 sustainability and annual reports</t>
  </si>
  <si>
    <t>LQ45 issuers</t>
  </si>
  <si>
    <t>See Report link in the Data tab</t>
  </si>
  <si>
    <t>MEDC limited assurance report</t>
  </si>
  <si>
    <t>EY (published on the MEDC website)</t>
  </si>
  <si>
    <t>See Assurance page reference for MEDC in the Data tab</t>
  </si>
  <si>
    <t>BEI, 13% of 2025 sustainability reports verified</t>
  </si>
  <si>
    <t>IDX Channel</t>
  </si>
  <si>
    <t>https://www.idxchannel.com/playlists/87-persen-emiten-sudah-terbitkan-laporan-keberlanjutan-2025-tapi-angka-verifikasi-masih-rendah</t>
  </si>
  <si>
    <t>IAASB and IESBA issue sustainability assurance standards</t>
  </si>
  <si>
    <t>RSM</t>
  </si>
  <si>
    <t>https://rsmus.com/insights/financial-reporting/iaasb-and-iesb-issue-new-standards-for-sustainability-assurance.html</t>
  </si>
  <si>
    <t>ISSA 5000 General Requirements for Sustainability Assurance Engagements</t>
  </si>
  <si>
    <t>MIA</t>
  </si>
  <si>
    <t>https://mia.org.my/storage/2025/07/4.-ISSA-5000-General-Requirements-for-Sustainability-Assurance-Engagements.pdf</t>
  </si>
  <si>
    <t>PSPK 1 and 2</t>
  </si>
  <si>
    <t>https://web.iaiglobal.or.id/Berita-IAI/detail/standar_baru_iai_perkuat_posisi_indonesia_di_panggung_keberlanjutan_global</t>
  </si>
  <si>
    <t>PSPK 1 and 2 at a glance</t>
  </si>
  <si>
    <t>KPMG Indonesia</t>
  </si>
  <si>
    <t>https://assets.kpmg.com/content/dam/kpmg/id/pdf/2025/10/id-at-a-glance-pspk1-pspk2.pdf</t>
  </si>
  <si>
    <t>Draft POJK on sustainable finance</t>
  </si>
  <si>
    <t>OJK</t>
  </si>
  <si>
    <t>https://ojk.go.id/id/regulasi/otoritas-jasa-keuangan/rancangan-regulasi/Documents/[FINAL]%20RDP%20RPOJK%20SF%20PUSK,%20Emiten%20dan%20Perusahaan%20Publik.pdf</t>
  </si>
  <si>
    <t>POJK 18/2023</t>
  </si>
  <si>
    <t>https://ojk.go.id/id/regulasi/Pages/Penerbitan-dan-Persyaratan-Efek-Bersifat-Utang-dan-Sukuk-Berlandaskan-Keberlanjutan-POJK-18-Tahun-2023.aspx</t>
  </si>
  <si>
    <t>Single sustainability assurance standard proposal</t>
  </si>
  <si>
    <t>https://iapi.or.id/iapi-usulkan-standar-tunggal-untuk-asurans-keberlanjutan-di-indonesia/</t>
  </si>
  <si>
    <t>Permen BUMN PER-1/MBU/03/2023</t>
  </si>
  <si>
    <t>Ministry of State-Owned Enterprises</t>
  </si>
  <si>
    <t>https://www.peraturan.go.id/files/permen-bumn-no-per-1-mbu-03-2023-tahun-2023.pdf</t>
  </si>
  <si>
    <t>The state of global sustainability assurance (IAASB)</t>
  </si>
  <si>
    <t>Maroun et al.</t>
  </si>
  <si>
    <t>https://eprints.whiterose.ac.uk/id/eprint/243650/1/IAASB%20Sustainability%20assurance.pdf</t>
  </si>
  <si>
    <t>As the ISSA 5000 comes into effect, do we need the AA1000AS?</t>
  </si>
  <si>
    <t>AccountAbility</t>
  </si>
  <si>
    <t>https://accountability.org/insights/as-the-issa-5000-comes-into-effect-do-we-need-the-aa1000as</t>
  </si>
  <si>
    <t>Mandatory sustainability assurance from 2028</t>
  </si>
  <si>
    <t>https://www.sc.com.my/resources/media/media-release/acsrs-mandatory-sustainability-assurance-requirement-to-take-effect-in-2028</t>
  </si>
  <si>
    <t>Singapore climate reporting timelines</t>
  </si>
  <si>
    <t>Allen &amp; Gledhill</t>
  </si>
  <si>
    <t>https://www.allenandgledhill.com/sg/publication/articles/31136/acra-and-sgx-regco-extend-timelines-for-most-climate-reporting-requirements</t>
  </si>
  <si>
    <t>CBAM costs and verification capacity</t>
  </si>
  <si>
    <t>SMM</t>
  </si>
  <si>
    <t>https://news.metal.com/en/newscontent/104031152-smm-analysis-cbam-costs-are-taking-effect-verification-capacity-lags-what-stainless-steel-exporters-need-to-know</t>
  </si>
  <si>
    <t>PCAF data quality scores</t>
  </si>
  <si>
    <t>DitchCarbon</t>
  </si>
  <si>
    <t>https://ditchcarbon.com/blog/pcaf-data-quality-scores-financed-emissions</t>
  </si>
  <si>
    <t>Building trust through defined scope and external assurance</t>
  </si>
  <si>
    <t>S&amp;P Global</t>
  </si>
  <si>
    <t>https://www.spglobal.com/sustainable1/en/csa/insights/building-trust-through-defined-scope-and-external-assurance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</si>
</sst>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0.0"/>
  </numFmts>
  <fonts count="11" x14ac:knownFonts="1">
    <font>
      <sz val="11"/>
      <color theme="1"/>
      <name val="Calibri"/>
      <family val="2"/>
      <charset val="1"/>
    </font>
    <font>
      <sz val="10"/>
      <name val="Arial"/>
      <family val="2"/>
    </font>
    <font>
      <b/>
      <sz val="14"/>
      <color rgb="FF00167A"/>
      <name val="Arial"/>
      <family val="2"/>
    </font>
    <font>
      <sz val="11"/>
      <color theme="1"/>
      <name val="Arial"/>
      <family val="2"/>
    </font>
    <font>
      <sz val="10"/>
      <color rgb="FF545454"/>
      <name val="Arial"/>
      <family val="2"/>
    </font>
    <font>
      <b/>
      <sz val="10"/>
      <color rgb="FFFFFFFF"/>
      <name val="Arial"/>
      <family val="2"/>
    </font>
    <font>
      <sz val="10"/>
      <name val="Arial"/>
      <family val="2"/>
    </font>
    <font>
      <sz val="10"/>
      <color rgb="FF0000FF"/>
      <name val="Arial"/>
      <family val="2"/>
    </font>
    <font>
      <u/>
      <sz val="10"/>
      <color rgb="FF2742BA"/>
      <name val="Arial"/>
      <family val="2"/>
    </font>
    <font>
      <b/>
      <sz val="11"/>
      <color rgb="FF00167A"/>
      <name val="Arial"/>
      <family val="2"/>
    </font>
    <font>
      <sz val="10"/>
      <color rgb="FF0000FF"/>
      <name val="Arial"/>
      <family val="2"/>
    </font>
  </fonts>
  <fills count="3">
    <fill>
      <patternFill patternType="none"/>
    </fill>
    <fill>
      <patternFill patternType="gray125"/>
    </fill>
    <fill>
      <patternFill patternType="solid">
        <fgColor rgb="FF00167A"/>
        <bgColor rgb="FF000080"/>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6" fillId="0" borderId="0" xfId="0" applyFont="1" applyAlignment="1">
      <alignment vertical="top"/>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xf>
    <xf numFmtId="164" fontId="6" fillId="0" borderId="0" xfId="0" applyNumberFormat="1" applyFont="1" applyAlignment="1">
      <alignment vertical="top"/>
    </xf>
    <xf numFmtId="0" fontId="9" fillId="0" borderId="0" xfId="0" applyFont="1"/>
    <xf numFmtId="9" fontId="6" fillId="0" borderId="0" xfId="0" applyNumberFormat="1" applyFont="1" applyAlignment="1">
      <alignment vertical="top"/>
    </xf>
    <xf numFmtId="0" fontId="6" fillId="0" borderId="0" xfId="0" applyFont="1"/>
    <xf numFmtId="165" fontId="6" fillId="0" borderId="0" xfId="0" applyNumberFormat="1" applyFont="1" applyAlignment="1">
      <alignment vertical="top"/>
    </xf>
    <xf numFmtId="0" fontId="10" fillId="0" borderId="0" xfId="0" applyFont="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167A"/>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45454"/>
      <rgbColor rgb="FF969696"/>
      <rgbColor rgb="FF003366"/>
      <rgbColor rgb="FF339966"/>
      <rgbColor rgb="FF003300"/>
      <rgbColor rgb="FF333300"/>
      <rgbColor rgb="FF993300"/>
      <rgbColor rgb="FF993366"/>
      <rgbColor rgb="FF2742B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bout" displayName="tblAbout" ref="A4:B15" totalsRowShown="0">
  <autoFilter ref="A4:B15" xr:uid="{00000000-0009-0000-0100-000001000000}"/>
  <tableColumns count="2">
    <tableColumn id="1" xr3:uid="{00000000-0010-0000-0000-000001000000}" name="Item"/>
    <tableColumn id="2" xr3:uid="{00000000-0010-0000-0000-000002000000}" name="Descriptio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Data" displayName="tblData" ref="A4:AX49" totalsRowShown="0">
  <autoFilter ref="A4:AX49" xr:uid="{00000000-0009-0000-0100-000002000000}"/>
  <tableColumns count="50">
    <tableColumn id="1" xr3:uid="{00000000-0010-0000-0100-000001000000}" name="Ticker"/>
    <tableColumn id="2" xr3:uid="{00000000-0010-0000-0100-000002000000}" name="Company"/>
    <tableColumn id="3" xr3:uid="{00000000-0010-0000-0100-000003000000}" name="Sector"/>
    <tableColumn id="4" xr3:uid="{00000000-0010-0000-0100-000004000000}" name="Business group"/>
    <tableColumn id="5" xr3:uid="{00000000-0010-0000-0100-000005000000}" name="State-owned"/>
    <tableColumn id="6" xr3:uid="{00000000-0010-0000-0100-000006000000}" name="Report type"/>
    <tableColumn id="7" xr3:uid="{00000000-0010-0000-0100-000007000000}" name="Report link"/>
    <tableColumn id="8" xr3:uid="{00000000-0010-0000-0100-000008000000}" name="Date accessed"/>
    <tableColumn id="9" xr3:uid="{00000000-0010-0000-0100-000009000000}" name="Assurance category"/>
    <tableColumn id="10" xr3:uid="{00000000-0010-0000-0100-00000A000000}" name="External statement"/>
    <tableColumn id="11" xr3:uid="{00000000-0010-0000-0100-00000B000000}" name="ESG rating cited"/>
    <tableColumn id="12" xr3:uid="{00000000-0010-0000-0100-00000C000000}" name="Ratings cited"/>
    <tableColumn id="13" xr3:uid="{00000000-0010-0000-0100-00000D000000}" name="Provider"/>
    <tableColumn id="14" xr3:uid="{00000000-0010-0000-0100-00000E000000}" name="Provider type"/>
    <tableColumn id="15" xr3:uid="{00000000-0010-0000-0100-00000F000000}" name="Standard"/>
    <tableColumn id="16" xr3:uid="{00000000-0010-0000-0100-000010000000}" name="AA1000 type"/>
    <tableColumn id="17" xr3:uid="{00000000-0010-0000-0100-000011000000}" name="Assurance level"/>
    <tableColumn id="18" xr3:uid="{00000000-0010-0000-0100-000012000000}" name="Subject matter"/>
    <tableColumn id="19" xr3:uid="{00000000-0010-0000-0100-000013000000}" name="Scope 1 disclosed"/>
    <tableColumn id="20" xr3:uid="{00000000-0010-0000-0100-000014000000}" name="Scope 1 assured"/>
    <tableColumn id="21" xr3:uid="{00000000-0010-0000-0100-000015000000}" name="Scope 2 disclosed"/>
    <tableColumn id="22" xr3:uid="{00000000-0010-0000-0100-000016000000}" name="Scope 2 assured"/>
    <tableColumn id="23" xr3:uid="{00000000-0010-0000-0100-000017000000}" name="Scope 3 disclosed"/>
    <tableColumn id="24" xr3:uid="{00000000-0010-0000-0100-000018000000}" name="Scope 3 assured"/>
    <tableColumn id="25" xr3:uid="{00000000-0010-0000-0100-000019000000}" name="Energy assured"/>
    <tableColumn id="26" xr3:uid="{00000000-0010-0000-0100-00001A000000}" name="Water assured"/>
    <tableColumn id="27" xr3:uid="{00000000-0010-0000-0100-00001B000000}" name="Waste assured"/>
    <tableColumn id="28" xr3:uid="{00000000-0010-0000-0100-00001C000000}" name="Social assured"/>
    <tableColumn id="29" xr3:uid="{00000000-0010-0000-0100-00001D000000}" name="Other assured topics"/>
    <tableColumn id="30" xr3:uid="{00000000-0010-0000-0100-00001E000000}" name="Independence statement"/>
    <tableColumn id="31" xr3:uid="{00000000-0010-0000-0100-00001F000000}" name="Competence statement"/>
    <tableColumn id="32" xr3:uid="{00000000-0010-0000-0100-000020000000}" name="QM or ethics reference"/>
    <tableColumn id="33" xr3:uid="{00000000-0010-0000-0100-000021000000}" name="Conclusion"/>
    <tableColumn id="34" xr3:uid="{00000000-0010-0000-0100-000022000000}" name="Figures listed"/>
    <tableColumn id="35" xr3:uid="{00000000-0010-0000-0100-000023000000}" name="Scope 1 figures listed"/>
    <tableColumn id="36" xr3:uid="{00000000-0010-0000-0100-000024000000}" name="Scope 2 figures listed"/>
    <tableColumn id="37" xr3:uid="{00000000-0010-0000-0100-000025000000}" name="Scope 3 figures listed"/>
    <tableColumn id="38" xr3:uid="{00000000-0010-0000-0100-000026000000}" name="Figures match report"/>
    <tableColumn id="39" xr3:uid="{00000000-0010-0000-0100-000027000000}" name="Assurance page reference"/>
    <tableColumn id="40" xr3:uid="{00000000-0010-0000-0100-000028000000}" name="C1 Independence"/>
    <tableColumn id="41" xr3:uid="{00000000-0010-0000-0100-000029000000}" name="C2 Quality management"/>
    <tableColumn id="42" xr3:uid="{00000000-0010-0000-0100-00002A000000}" name="C3 Level"/>
    <tableColumn id="43" xr3:uid="{00000000-0010-0000-0100-00002B000000}" name="C4 Standard"/>
    <tableColumn id="44" xr3:uid="{00000000-0010-0000-0100-00002C000000}" name="C5 Conclusion"/>
    <tableColumn id="45" xr3:uid="{00000000-0010-0000-0100-00002D000000}" name="Core score"/>
    <tableColumn id="46" xr3:uid="{00000000-0010-0000-0100-00002E000000}" name="P1 Scope 1 and 2"/>
    <tableColumn id="47" xr3:uid="{00000000-0010-0000-0100-00002F000000}" name="P2 Figures"/>
    <tableColumn id="48" xr3:uid="{00000000-0010-0000-0100-000030000000}" name="PSPK score"/>
    <tableColumn id="49" xr3:uid="{00000000-0010-0000-0100-000031000000}" name="Total score"/>
    <tableColumn id="50" xr3:uid="{00000000-0010-0000-0100-000032000000}" name="ISSA-ready"/>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2000000}" name="tblRecon" displayName="tblRecon" ref="A4:P49" totalsRowShown="0">
  <autoFilter ref="A4:P49" xr:uid="{00000000-0009-0000-0100-000010000000}"/>
  <tableColumns count="16">
    <tableColumn id="1" xr3:uid="{00000000-0010-0000-0200-000001000000}" name="Report"/>
    <tableColumn id="2" xr3:uid="{00000000-0010-0000-0200-000002000000}" name="GHG assured"/>
    <tableColumn id="3" xr3:uid="{00000000-0010-0000-0200-000003000000}" name="Sum check"/>
    <tableColumn id="4" xr3:uid="{00000000-0010-0000-0200-000004000000}" name="Breakdown check"/>
    <tableColumn id="5" xr3:uid="{00000000-0010-0000-0200-000005000000}" name="Narrative check"/>
    <tableColumn id="6" xr3:uid="{00000000-0010-0000-0200-000006000000}" name="Change check"/>
    <tableColumn id="7" xr3:uid="{00000000-0010-0000-0200-000007000000}" name="Intensity check"/>
    <tableColumn id="8" xr3:uid="{00000000-0010-0000-0200-000008000000}" name="Plausibility flag"/>
    <tableColumn id="9" xr3:uid="{00000000-0010-0000-0200-000009000000}" name="Boundary type"/>
    <tableColumn id="10" xr3:uid="{00000000-0010-0000-0200-00000A000000}" name="Inferred omission"/>
    <tableColumn id="11" xr3:uid="{00000000-0010-0000-0200-00000B000000}" name="Prior-year flag"/>
    <tableColumn id="12" xr3:uid="{00000000-0010-0000-0200-00000C000000}" name="Editorial flag"/>
    <tableColumn id="13" xr3:uid="{00000000-0010-0000-0200-00000D000000}" name="Accuracy flag"/>
    <tableColumn id="14" xr3:uid="{00000000-0010-0000-0200-00000E000000}" name="Consistency flag"/>
    <tableColumn id="15" xr3:uid="{00000000-0010-0000-0200-00000F000000}" name="Completeness flag"/>
    <tableColumn id="16" xr3:uid="{00000000-0010-0000-0200-000010000000}" name="Passes all lens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3000000}" name="tblReconChecks" displayName="tblReconChecks" ref="A53:C67" totalsRowShown="0">
  <autoFilter ref="A53:C67" xr:uid="{00000000-0009-0000-0100-000011000000}"/>
  <tableColumns count="3">
    <tableColumn id="1" xr3:uid="{00000000-0010-0000-0300-000001000000}" name="Column"/>
    <tableColumn id="2" xr3:uid="{00000000-0010-0000-0300-000002000000}" name="What is tested"/>
    <tableColumn id="3" xr3:uid="{00000000-0010-0000-0300-000003000000}" name="Valu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4000000}" name="tblFields" displayName="tblFields" ref="A4:D39" totalsRowShown="0">
  <autoFilter ref="A4:D39" xr:uid="{00000000-0009-0000-0100-00000F000000}"/>
  <tableColumns count="4">
    <tableColumn id="1" xr3:uid="{00000000-0010-0000-0400-000001000000}" name="Field"/>
    <tableColumn id="2" xr3:uid="{00000000-0010-0000-0400-000002000000}" name="Definition"/>
    <tableColumn id="3" xr3:uid="{00000000-0010-0000-0400-000003000000}" name="Allowed values"/>
    <tableColumn id="4" xr3:uid="{00000000-0010-0000-0400-000004000000}" name="Used i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5000000}" name="tblRules" displayName="tblRules" ref="A43:D72" totalsRowShown="0">
  <autoFilter ref="A43:D72" xr:uid="{00000000-0009-0000-0100-000012000000}"/>
  <tableColumns count="4">
    <tableColumn id="1" xr3:uid="{00000000-0010-0000-0500-000001000000}" name="Rule"/>
    <tableColumn id="2" xr3:uid="{00000000-0010-0000-0500-000002000000}" name="Rule text"/>
    <tableColumn id="3" xr3:uid="{00000000-0010-0000-0500-000003000000}" name="Applies to"/>
    <tableColumn id="4" xr3:uid="{00000000-0010-0000-0500-000004000000}" name="Statu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blEx1" displayName="tblEx1" ref="A4:C9" totalsRowShown="0">
  <autoFilter ref="A4:C9" xr:uid="{00000000-0009-0000-0100-000003000000}"/>
  <tableColumns count="3">
    <tableColumn id="1" xr3:uid="{00000000-0010-0000-0600-000001000000}" name="Status"/>
    <tableColumn id="2" xr3:uid="{00000000-0010-0000-0600-000002000000}" name="Issuers"/>
    <tableColumn id="3" xr3:uid="{00000000-0010-0000-0600-000003000000}" name="Share"/>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blEx2" displayName="tblEx2" ref="A4:D11" totalsRowShown="0">
  <autoFilter ref="A4:D11" xr:uid="{00000000-0009-0000-0100-000004000000}"/>
  <tableColumns count="4">
    <tableColumn id="1" xr3:uid="{00000000-0010-0000-0700-000001000000}" name="Event"/>
    <tableColumn id="2" xr3:uid="{00000000-0010-0000-0700-000002000000}" name="Issuer or body"/>
    <tableColumn id="3" xr3:uid="{00000000-0010-0000-0700-000003000000}" name="Date"/>
    <tableColumn id="4" xr3:uid="{00000000-0010-0000-0700-000004000000}" name="Source"/>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tblEx3Groups" displayName="tblEx3Groups" ref="A22:D32" totalsRowShown="0">
  <autoFilter ref="A22:D32" xr:uid="{00000000-0009-0000-0100-000005000000}"/>
  <tableColumns count="4">
    <tableColumn id="1" xr3:uid="{00000000-0010-0000-0800-000001000000}" name="Business group"/>
    <tableColumn id="2" xr3:uid="{00000000-0010-0000-0800-000002000000}" name="Members"/>
    <tableColumn id="3" xr3:uid="{00000000-0010-0000-0800-000003000000}" name="With statement"/>
    <tableColumn id="4" xr3:uid="{00000000-0010-0000-0800-000004000000}" name="Same status"/>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9000000}" name="tblEx3Ownership" displayName="tblEx3Ownership" ref="A4:D6" totalsRowShown="0">
  <autoFilter ref="A4:D6" xr:uid="{00000000-0009-0000-0100-000006000000}"/>
  <tableColumns count="4">
    <tableColumn id="1" xr3:uid="{00000000-0010-0000-0900-000001000000}" name="Ownership"/>
    <tableColumn id="2" xr3:uid="{00000000-0010-0000-0900-000002000000}" name="Issuers"/>
    <tableColumn id="3" xr3:uid="{00000000-0010-0000-0900-000003000000}" name="With statement"/>
    <tableColumn id="4" xr3:uid="{00000000-0010-0000-0900-000004000000}" name="Share"/>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blEx3Sector" displayName="tblEx3Sector" ref="A9:D18" totalsRowShown="0">
  <autoFilter ref="A9:D18" xr:uid="{00000000-0009-0000-0100-000007000000}"/>
  <tableColumns count="4">
    <tableColumn id="1" xr3:uid="{00000000-0010-0000-0A00-000001000000}" name="Sector"/>
    <tableColumn id="2" xr3:uid="{00000000-0010-0000-0A00-000002000000}" name="Issuers"/>
    <tableColumn id="3" xr3:uid="{00000000-0010-0000-0A00-000003000000}" name="With statement"/>
    <tableColumn id="4" xr3:uid="{00000000-0010-0000-0A00-000004000000}" name="Share"/>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blEx4Level" displayName="tblEx4Level" ref="A12:G17" totalsRowShown="0">
  <autoFilter ref="A12:G17" xr:uid="{00000000-0009-0000-0100-000008000000}"/>
  <tableColumns count="7">
    <tableColumn id="1" xr3:uid="{00000000-0010-0000-0B00-000001000000}" name="Provider type"/>
    <tableColumn id="2" xr3:uid="{00000000-0010-0000-0B00-000002000000}" name="Limited"/>
    <tableColumn id="3" xr3:uid="{00000000-0010-0000-0B00-000003000000}" name="Reasonable"/>
    <tableColumn id="4" xr3:uid="{00000000-0010-0000-0B00-000004000000}" name="Moderate (AA1000)"/>
    <tableColumn id="5" xr3:uid="{00000000-0010-0000-0B00-000005000000}" name="High (AA1000)"/>
    <tableColumn id="6" xr3:uid="{00000000-0010-0000-0B00-000006000000}" name="Not stated"/>
    <tableColumn id="7" xr3:uid="{00000000-0010-0000-0B00-000007000000}" name="Statements"/>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C000000}" name="tblEx4Standard" displayName="tblEx4Standard" ref="A4:G9" totalsRowShown="0">
  <autoFilter ref="A4:G9" xr:uid="{00000000-0009-0000-0100-000009000000}"/>
  <tableColumns count="7">
    <tableColumn id="1" xr3:uid="{00000000-0010-0000-0C00-000001000000}" name="Provider type"/>
    <tableColumn id="2" xr3:uid="{00000000-0010-0000-0C00-000002000000}" name="ISAE 3000"/>
    <tableColumn id="3" xr3:uid="{00000000-0010-0000-0C00-000003000000}" name="ISAE 3000 + ISAE 3410"/>
    <tableColumn id="4" xr3:uid="{00000000-0010-0000-0C00-000004000000}" name="ISAE 3000 + AA1000AS"/>
    <tableColumn id="5" xr3:uid="{00000000-0010-0000-0C00-000005000000}" name="AA1000AS v3"/>
    <tableColumn id="6" xr3:uid="{00000000-0010-0000-0C00-000006000000}" name="Other"/>
    <tableColumn id="7" xr3:uid="{00000000-0010-0000-0C00-000007000000}" name="State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D000000}" name="tblEx5" displayName="tblEx5" ref="A4:F7" totalsRowShown="0">
  <autoFilter ref="A4:F7" xr:uid="{00000000-0009-0000-0100-00000A000000}"/>
  <tableColumns count="6">
    <tableColumn id="1" xr3:uid="{00000000-0010-0000-0D00-000001000000}" name="Scope"/>
    <tableColumn id="2" xr3:uid="{00000000-0010-0000-0D00-000002000000}" name="Disclosed"/>
    <tableColumn id="3" xr3:uid="{00000000-0010-0000-0D00-000003000000}" name="Assured"/>
    <tableColumn id="4" xr3:uid="{00000000-0010-0000-0D00-000004000000}" name="Figures listed"/>
    <tableColumn id="5" xr3:uid="{00000000-0010-0000-0D00-000005000000}" name="Assured of disclosed"/>
    <tableColumn id="6" xr3:uid="{00000000-0010-0000-0D00-000006000000}" name="Listed of assured"/>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E000000}" name="tblEx6ByType" displayName="tblEx6ByType" ref="A14:E19" totalsRowShown="0">
  <autoFilter ref="A14:E19" xr:uid="{00000000-0009-0000-0100-00000B000000}"/>
  <tableColumns count="5">
    <tableColumn id="1" xr3:uid="{00000000-0010-0000-0E00-000001000000}" name="Provider type"/>
    <tableColumn id="2" xr3:uid="{00000000-0010-0000-0E00-000002000000}" name="Statements"/>
    <tableColumn id="3" xr3:uid="{00000000-0010-0000-0E00-000003000000}" name="Average core score"/>
    <tableColumn id="4" xr3:uid="{00000000-0010-0000-0E00-000004000000}" name="ISSA-ready"/>
    <tableColumn id="5" xr3:uid="{00000000-0010-0000-0E00-000005000000}" name="Competence described"/>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F000000}" name="tblEx6Criteria" displayName="tblEx6Criteria" ref="A4:F11" totalsRowShown="0">
  <autoFilter ref="A4:F11" xr:uid="{00000000-0009-0000-0100-00000C000000}"/>
  <tableColumns count="6">
    <tableColumn id="1" xr3:uid="{00000000-0010-0000-0F00-000001000000}" name="Code"/>
    <tableColumn id="2" xr3:uid="{00000000-0010-0000-0F00-000002000000}" name="Group"/>
    <tableColumn id="3" xr3:uid="{00000000-0010-0000-0F00-000003000000}" name="Criterion"/>
    <tableColumn id="4" xr3:uid="{00000000-0010-0000-0F00-000004000000}" name="Met when"/>
    <tableColumn id="5" xr3:uid="{00000000-0010-0000-0F00-000005000000}" name="Statements meeting"/>
    <tableColumn id="6" xr3:uid="{00000000-0010-0000-0F00-000006000000}" name="Shar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0000000}" name="tblEx7" displayName="tblEx7" ref="A4:G7" totalsRowShown="0">
  <autoFilter ref="A4:G7" xr:uid="{00000000-0009-0000-0100-00000D000000}"/>
  <tableColumns count="7">
    <tableColumn id="1" xr3:uid="{00000000-0010-0000-1000-000001000000}" name="Lens"/>
    <tableColumn id="2" xr3:uid="{00000000-0010-0000-1000-000002000000}" name="Assured flagged"/>
    <tableColumn id="3" xr3:uid="{00000000-0010-0000-1000-000003000000}" name="Assured testable"/>
    <tableColumn id="4" xr3:uid="{00000000-0010-0000-1000-000004000000}" name="Not assured flagged"/>
    <tableColumn id="5" xr3:uid="{00000000-0010-0000-1000-000005000000}" name="Not assured testable"/>
    <tableColumn id="6" xr3:uid="{00000000-0010-0000-1000-000006000000}" name="All flagged"/>
    <tableColumn id="7" xr3:uid="{00000000-0010-0000-1000-000007000000}" name="All testable"/>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1000000}" name="tblEx7Share" displayName="tblEx7Share" ref="A10:C13" totalsRowShown="0">
  <autoFilter ref="A10:C13" xr:uid="{00000000-0009-0000-0100-00000E000000}"/>
  <tableColumns count="3">
    <tableColumn id="1" xr3:uid="{00000000-0010-0000-1100-000001000000}" name="Lens"/>
    <tableColumn id="2" xr3:uid="{00000000-0010-0000-1100-000002000000}" name="Assured"/>
    <tableColumn id="3" xr3:uid="{00000000-0010-0000-1100-000003000000}" name="Not assured"/>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blTextFigures" displayName="tblTextFigures" ref="A4:D20" totalsRowShown="0">
  <autoFilter ref="A4:D20" xr:uid="{00000000-0009-0000-0100-000014000000}"/>
  <tableColumns count="4">
    <tableColumn id="1" xr3:uid="{00000000-0010-0000-1200-000001000000}" name="Section"/>
    <tableColumn id="2" xr3:uid="{00000000-0010-0000-1200-000002000000}" name="Figure"/>
    <tableColumn id="3" xr3:uid="{00000000-0010-0000-1200-000003000000}" name="Value"/>
    <tableColumn id="4" xr3:uid="{00000000-0010-0000-1200-000004000000}" name="Base"/>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3000000}" name="tblSources" displayName="tblSources" ref="A4:D24" totalsRowShown="0">
  <autoFilter ref="A4:D24" xr:uid="{00000000-0009-0000-0100-000013000000}"/>
  <tableColumns count="4">
    <tableColumn id="1" xr3:uid="{00000000-0010-0000-1300-000001000000}" name="No"/>
    <tableColumn id="2" xr3:uid="{00000000-0010-0000-1300-000002000000}" name="Source"/>
    <tableColumn id="3" xr3:uid="{00000000-0010-0000-1300-000003000000}" name="Publisher"/>
    <tableColumn id="4" xr3:uid="{00000000-0010-0000-1300-000004000000}" name="Lin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linkedin.com/in/kelvin-kenzie-muhammad-a50a572a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bankmandiri.co.id/documents/20143/572643040/Final_SR+Bank+Mandiri+2025+-+English_Medium.pdf/8b05cde2-44df-2a29-585d-9cccfaf0e30a?t=1782995503475" TargetMode="External"/><Relationship Id="rId18" Type="http://schemas.openxmlformats.org/officeDocument/2006/relationships/hyperlink" Target="https://www.ptdh.co.id/assets/files/sustain/Sustainability%20Report%202025%20-%20DEWA.pdf" TargetMode="External"/><Relationship Id="rId26" Type="http://schemas.openxmlformats.org/officeDocument/2006/relationships/hyperlink" Target="https://www.indofood.com/uploads/file/SR%20ISM%202025.pdf" TargetMode="External"/><Relationship Id="rId39" Type="http://schemas.openxmlformats.org/officeDocument/2006/relationships/hyperlink" Target="https://www.idx.co.id/StaticData/NewsAndAnnouncement/ANNOUNCEMENTSTOCK/From_EREP/202603/e1650efadf_9086c0e2b0.pdf" TargetMode="External"/><Relationship Id="rId21" Type="http://schemas.openxmlformats.org/officeDocument/2006/relationships/hyperlink" Target="https://static-cms-xlsmart.xlaxiata.my.id/production/2026/05/18/ac393977-dbd6-4422-bd81-24f8fa4d801b.pdf" TargetMode="External"/><Relationship Id="rId34" Type="http://schemas.openxmlformats.org/officeDocument/2006/relationships/hyperlink" Target="https://assets.merdekabattery.com/dist/documents/Sustainability%20Report%20MBMA%202025.pdf" TargetMode="External"/><Relationship Id="rId42" Type="http://schemas.openxmlformats.org/officeDocument/2006/relationships/hyperlink" Target="https://www.telkom.co.id/minio/show/data/lampiran/1778605801197_original_TLKM-SR2025-IND.pdf" TargetMode="External"/><Relationship Id="rId7" Type="http://schemas.openxmlformats.org/officeDocument/2006/relationships/hyperlink" Target="https://storage.googleapis.com/contents.antam.com/uploads/SR%20ANTAM%202025%20(Final).pdf" TargetMode="External"/><Relationship Id="rId2" Type="http://schemas.openxmlformats.org/officeDocument/2006/relationships/hyperlink" Target="https://alamtriminerals.id/document/view/en/dfztb13KC8KxGdwilPdXgfNEnjliBH7bJ1W7q39U.pdf/Sustainability%20Report%202025" TargetMode="External"/><Relationship Id="rId16" Type="http://schemas.openxmlformats.org/officeDocument/2006/relationships/hyperlink" Target="https://cp.co.id/wp-content/uploads/2026/04/Sustainability-Report-CPIN-2025.pdf" TargetMode="External"/><Relationship Id="rId29" Type="http://schemas.openxmlformats.org/officeDocument/2006/relationships/hyperlink" Target="https://www.idx.co.id/StaticData/NewsAndAnnouncement/ANNOUNCEMENTSTOCK/From_EREP/202604/545f8954f4_b3ac1c9786.pdf" TargetMode="External"/><Relationship Id="rId1" Type="http://schemas.openxmlformats.org/officeDocument/2006/relationships/hyperlink" Target="https://adaroindonesia.com/app/webroot/upload/files/laporan_keberlanjutan/AADI%20Sustainability%20Report%202025.pdf" TargetMode="External"/><Relationship Id="rId6" Type="http://schemas.openxmlformats.org/officeDocument/2006/relationships/hyperlink" Target="https://www.idx.co.id/StaticData/NewsAndAnnouncement/ANNOUNCEMENTSTOCK/From_EREP/202604/7555a4adf9_1a26dc520e.pdf" TargetMode="External"/><Relationship Id="rId11" Type="http://schemas.openxmlformats.org/officeDocument/2006/relationships/hyperlink" Target="https://bri.co.id/documents/20123/56786/Sustainability%20Report%20BRI%20Tahun%202025_English.pdf" TargetMode="External"/><Relationship Id="rId24" Type="http://schemas.openxmlformats.org/officeDocument/2006/relationships/hyperlink" Target="https://www.indofoodcbp.com/cms/uploads/file/SR%20ICBP%202025.pdf" TargetMode="External"/><Relationship Id="rId32" Type="http://schemas.openxmlformats.org/officeDocument/2006/relationships/hyperlink" Target="https://www.kalbe.co.id/api-content/File/GetFile/SR2025%20(1).pdf" TargetMode="External"/><Relationship Id="rId37" Type="http://schemas.openxmlformats.org/officeDocument/2006/relationships/hyperlink" Target="https://api.tbpnickel.com/storage/images/Keberlanjutan/Tentang%20Keberlanjutan/Laporan%20Keberlanjutan/Sustainability%20Report%202025%20-%20Harita%20Nickel.pdf" TargetMode="External"/><Relationship Id="rId40" Type="http://schemas.openxmlformats.org/officeDocument/2006/relationships/hyperlink" Target="https://www.ptba.co.id/api/storage/1780384306782-d5c6b039-414d-4b10-8891-08a71ca9a336.pdf" TargetMode="External"/><Relationship Id="rId45" Type="http://schemas.openxmlformats.org/officeDocument/2006/relationships/hyperlink" Target="https://www.surge.co.id/pdf/Investor%20Relations/Annual%20Report%202025/Surge_AR_2025_240626.pdf" TargetMode="External"/><Relationship Id="rId5" Type="http://schemas.openxmlformats.org/officeDocument/2006/relationships/hyperlink" Target="https://www.amman.co.id/rails/active_storage/blobs/proxy/eyJfcmFpbHMiOnsiZGF0YSI6NjE0NSwicHVyIjoiYmxvYl9pZCJ9fQ==--063e809101a3c4d0ff04429af5c9b5d7ec4720ee/Sustainability%20Report%202025%20-%20PT%20Amman%20Mineral%20Internasional%20Tbk.pdf?disposition=inl" TargetMode="External"/><Relationship Id="rId15" Type="http://schemas.openxmlformats.org/officeDocument/2006/relationships/hyperlink" Target="https://www.bumiresources.com/en/sustainability/reports" TargetMode="External"/><Relationship Id="rId23" Type="http://schemas.openxmlformats.org/officeDocument/2006/relationships/hyperlink" Target="https://hartadinataabadi.co.id/download?filename=investor-report-file/8250/ARSRHRTA2025.pdf" TargetMode="External"/><Relationship Id="rId28" Type="http://schemas.openxmlformats.org/officeDocument/2006/relationships/hyperlink" Target="https://www.idx.co.id/StaticData/NewsAndAnnouncement/ANNOUNCEMENTSTOCK/From_EREP/202604/d6a2c7e95a_d77e7a5b7b.pdf" TargetMode="External"/><Relationship Id="rId36" Type="http://schemas.openxmlformats.org/officeDocument/2006/relationships/hyperlink" Target="https://www.medcoenergi.com/uploads/sreports/2025/MEDC_SR2025_ENG.pdf" TargetMode="External"/><Relationship Id="rId10" Type="http://schemas.openxmlformats.org/officeDocument/2006/relationships/hyperlink" Target="https://bni.co.id/portals/1/BNI/Perusahaan/HubunganInvestor/Docs/SR-BNI-2025-EN.pdf" TargetMode="External"/><Relationship Id="rId19" Type="http://schemas.openxmlformats.org/officeDocument/2006/relationships/hyperlink" Target="https://cms.emtek.co.id/media/sustainability_reports_attachment_en/gbgb/SR-EMTEK-2025.pdf" TargetMode="External"/><Relationship Id="rId31" Type="http://schemas.openxmlformats.org/officeDocument/2006/relationships/hyperlink" Target="https://d1be5sn7lppxuh.cloudfront.net/assets/files/files/sustainability/2025-sr-pt-japfa-tbk.pdf" TargetMode="External"/><Relationship Id="rId44" Type="http://schemas.openxmlformats.org/officeDocument/2006/relationships/hyperlink" Target="https://www.unilever.co.id/files/sustainability-report-2025.pdf" TargetMode="External"/><Relationship Id="rId4" Type="http://schemas.openxmlformats.org/officeDocument/2006/relationships/hyperlink" Target="https://www.akr.co.id/storage/reports/Dp11IbyDaUmCgPbLoxhc08p9nJZXRQE41pjghKYw.pdf" TargetMode="External"/><Relationship Id="rId9" Type="http://schemas.openxmlformats.org/officeDocument/2006/relationships/hyperlink" Target="https://pustaka.bca.co.id/ESG/2026/File/20260212-SR25-BCA-EN.pdf" TargetMode="External"/><Relationship Id="rId14" Type="http://schemas.openxmlformats.org/officeDocument/2006/relationships/hyperlink" Target="https://www.barito-pacific.com/uploads/investors/sustainability-report-260507032726SR%20Barito%20Pacific%202025_low.pdf" TargetMode="External"/><Relationship Id="rId22" Type="http://schemas.openxmlformats.org/officeDocument/2006/relationships/hyperlink" Target="https://content.goinfra.co.id/asts/InvestorRelation/AnnualReport/2026-04-27/2025%20Sustainability%20Report.pdf" TargetMode="External"/><Relationship Id="rId27" Type="http://schemas.openxmlformats.org/officeDocument/2006/relationships/hyperlink" Target="https://www.indikaenergy.co.id/wp-content/uploads/2026/04/Indika-Energy-2025-Sustainability-Report.pdf" TargetMode="External"/><Relationship Id="rId30" Type="http://schemas.openxmlformats.org/officeDocument/2006/relationships/hyperlink" Target="https://www.itmg.co.id/files/sustainability_assets/ITM_SR_2025_web.pdf" TargetMode="External"/><Relationship Id="rId35" Type="http://schemas.openxmlformats.org/officeDocument/2006/relationships/hyperlink" Target="https://merdekacoppergold.com/wp-content/uploads/2026/05/Sustainability-Report-PT-Merdeka-Copper-Gold-Tbk-2025.pdf" TargetMode="External"/><Relationship Id="rId43" Type="http://schemas.openxmlformats.org/officeDocument/2006/relationships/hyperlink" Target="https://www.unitedtractors.com/wp-content/uploads/2026/04/United-Tractors_2025SR.pdf" TargetMode="External"/><Relationship Id="rId8" Type="http://schemas.openxmlformats.org/officeDocument/2006/relationships/hyperlink" Target="https://r2.astra.co.id/sustainability-report-details/attachments/2025-Astra-Sustainability-Report.pdf" TargetMode="External"/><Relationship Id="rId3" Type="http://schemas.openxmlformats.org/officeDocument/2006/relationships/hyperlink" Target="https://www.alamtri.com/files/news/berkas/2356/ADRO%20Sustainability%20Report%202025.pdf" TargetMode="External"/><Relationship Id="rId12" Type="http://schemas.openxmlformats.org/officeDocument/2006/relationships/hyperlink" Target="https://www.btn.co.id/en/about/investor-relation/company-report/sustainability-report" TargetMode="External"/><Relationship Id="rId17" Type="http://schemas.openxmlformats.org/officeDocument/2006/relationships/hyperlink" Target="https://petrindo.co.id/laporan-keberlanjutan/" TargetMode="External"/><Relationship Id="rId25" Type="http://schemas.openxmlformats.org/officeDocument/2006/relationships/hyperlink" Target="https://www.idx.co.id/StaticData/NewsAndAnnouncement/ANNOUNCEMENTSTOCK/From_EREP/202604/668820eaf0_e5ef4054b6.pdf" TargetMode="External"/><Relationship Id="rId33" Type="http://schemas.openxmlformats.org/officeDocument/2006/relationships/hyperlink" Target="https://www.map.co.id/wp-content/uploads/2026/06/SR2025-MAPI-hires.pdf" TargetMode="External"/><Relationship Id="rId38" Type="http://schemas.openxmlformats.org/officeDocument/2006/relationships/hyperlink" Target="https://corporateweb-api.pgn.co.id/api/media/minio/download/51801" TargetMode="External"/><Relationship Id="rId46" Type="http://schemas.openxmlformats.org/officeDocument/2006/relationships/table" Target="../tables/table2.xml"/><Relationship Id="rId20" Type="http://schemas.openxmlformats.org/officeDocument/2006/relationships/hyperlink" Target="https://essa.sgp1.cdn.digitaloceanspaces.com/sustainability-reports/sr-2025.pdf" TargetMode="External"/><Relationship Id="rId41" Type="http://schemas.openxmlformats.org/officeDocument/2006/relationships/hyperlink" Target="https://www.scm.co.id/files/uploads/pageattachment/uri/2026/Apr/29/69f2387f64ab3/laporan-keberlanjutan-scma-2025-final.pdf"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9.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8" Type="http://schemas.openxmlformats.org/officeDocument/2006/relationships/hyperlink" Target="https://ojk.go.id/id/regulasi/otoritas-jasa-keuangan/rancangan-regulasi/Documents/%5BFINAL%5D%20RDP%20RPOJK%20SF%20PUSK,%20Emiten%20dan%20Perusahaan%20Publik.pdf" TargetMode="External"/><Relationship Id="rId13" Type="http://schemas.openxmlformats.org/officeDocument/2006/relationships/hyperlink" Target="https://accountability.org/insights/as-the-issa-5000-comes-into-effect-do-we-need-the-aa1000as" TargetMode="External"/><Relationship Id="rId18" Type="http://schemas.openxmlformats.org/officeDocument/2006/relationships/hyperlink" Target="https://www.spglobal.com/sustainable1/en/csa/insights/building-trust-through-defined-scope-and-external-assurance" TargetMode="External"/><Relationship Id="rId3" Type="http://schemas.openxmlformats.org/officeDocument/2006/relationships/hyperlink" Target="https://www.idxchannel.com/playlists/87-persen-emiten-sudah-terbitkan-laporan-keberlanjutan-2025-tapi-angka-verifikasi-masih-rendah" TargetMode="External"/><Relationship Id="rId7" Type="http://schemas.openxmlformats.org/officeDocument/2006/relationships/hyperlink" Target="https://assets.kpmg.com/content/dam/kpmg/id/pdf/2025/10/id-at-a-glance-pspk1-pspk2.pdf" TargetMode="External"/><Relationship Id="rId12" Type="http://schemas.openxmlformats.org/officeDocument/2006/relationships/hyperlink" Target="https://eprints.whiterose.ac.uk/id/eprint/243650/1/IAASB%20Sustainability%20assurance.pdf" TargetMode="External"/><Relationship Id="rId17" Type="http://schemas.openxmlformats.org/officeDocument/2006/relationships/hyperlink" Target="https://ditchcarbon.com/blog/pcaf-data-quality-scores-financed-emissions" TargetMode="External"/><Relationship Id="rId2" Type="http://schemas.openxmlformats.org/officeDocument/2006/relationships/hyperlink" Target="https://www.fortuneidn.com/market/bei-ubah-konstituen-lq45-idx30-idx80-d7w02-00-lflgw-zklmt1" TargetMode="External"/><Relationship Id="rId16" Type="http://schemas.openxmlformats.org/officeDocument/2006/relationships/hyperlink" Target="https://news.metal.com/en/newscontent/104031152-smm-analysis-cbam-costs-are-taking-effect-verification-capacity-lags-what-stainless-steel-exporters-need-to-know" TargetMode="External"/><Relationship Id="rId1" Type="http://schemas.openxmlformats.org/officeDocument/2006/relationships/hyperlink" Target="https://market.bisnis.com/read/20260901/7/2000569/daftar-saham-paling-cuan-dan-boncos-di-lq45-agustus-2026" TargetMode="External"/><Relationship Id="rId6" Type="http://schemas.openxmlformats.org/officeDocument/2006/relationships/hyperlink" Target="https://web.iaiglobal.or.id/Berita-IAI/detail/standar_baru_iai_perkuat_posisi_indonesia_di_panggung_keberlanjutan_global" TargetMode="External"/><Relationship Id="rId11" Type="http://schemas.openxmlformats.org/officeDocument/2006/relationships/hyperlink" Target="https://www.peraturan.go.id/files/permen-bumn-no-per-1-mbu-03-2023-tahun-2023.pdf" TargetMode="External"/><Relationship Id="rId5" Type="http://schemas.openxmlformats.org/officeDocument/2006/relationships/hyperlink" Target="https://mia.org.my/storage/2025/07/4.-ISSA-5000-General-Requirements-for-Sustainability-Assurance-Engagements.pdf" TargetMode="External"/><Relationship Id="rId15" Type="http://schemas.openxmlformats.org/officeDocument/2006/relationships/hyperlink" Target="https://www.allenandgledhill.com/sg/publication/articles/31136/acra-and-sgx-regco-extend-timelines-for-most-climate-reporting-requirements" TargetMode="External"/><Relationship Id="rId10" Type="http://schemas.openxmlformats.org/officeDocument/2006/relationships/hyperlink" Target="https://iapi.or.id/iapi-usulkan-standar-tunggal-untuk-asurans-keberlanjutan-di-indonesia/" TargetMode="External"/><Relationship Id="rId19" Type="http://schemas.openxmlformats.org/officeDocument/2006/relationships/table" Target="../tables/table20.xml"/><Relationship Id="rId4" Type="http://schemas.openxmlformats.org/officeDocument/2006/relationships/hyperlink" Target="https://rsmus.com/insights/financial-reporting/iaasb-and-iesb-issue-new-standards-for-sustainability-assurance.html" TargetMode="External"/><Relationship Id="rId9" Type="http://schemas.openxmlformats.org/officeDocument/2006/relationships/hyperlink" Target="https://ojk.go.id/id/regulasi/Pages/Penerbitan-dan-Persyaratan-Efek-Bersifat-Utang-dan-Sukuk-Berlandaskan-Keberlanjutan-POJK-18-Tahun-2023.aspx" TargetMode="External"/><Relationship Id="rId14" Type="http://schemas.openxmlformats.org/officeDocument/2006/relationships/hyperlink" Target="https://www.sc.com.my/resources/media/media-release/acsrs-mandatory-sustainability-assurance-requirement-to-take-effect-in-20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zoomScaleNormal="100" workbookViewId="0">
      <selection activeCell="B13" sqref="B13"/>
    </sheetView>
  </sheetViews>
  <sheetFormatPr defaultColWidth="8.6640625" defaultRowHeight="14.4" x14ac:dyDescent="0.3"/>
  <cols>
    <col min="1" max="1" width="24" customWidth="1"/>
    <col min="2" max="2" width="110" customWidth="1"/>
  </cols>
  <sheetData>
    <row r="1" spans="1:2" ht="17.399999999999999" x14ac:dyDescent="0.3">
      <c r="A1" s="1" t="s">
        <v>0</v>
      </c>
      <c r="B1" s="2"/>
    </row>
    <row r="2" spans="1:2" x14ac:dyDescent="0.3">
      <c r="A2" s="3" t="s">
        <v>1</v>
      </c>
      <c r="B2" s="2"/>
    </row>
    <row r="3" spans="1:2" x14ac:dyDescent="0.3">
      <c r="A3" s="2"/>
      <c r="B3" s="2"/>
    </row>
    <row r="4" spans="1:2" x14ac:dyDescent="0.3">
      <c r="A4" s="4" t="s">
        <v>2</v>
      </c>
      <c r="B4" s="4" t="s">
        <v>3</v>
      </c>
    </row>
    <row r="5" spans="1:2" x14ac:dyDescent="0.3">
      <c r="A5" s="5" t="s">
        <v>4</v>
      </c>
      <c r="B5" s="6" t="s">
        <v>5</v>
      </c>
    </row>
    <row r="6" spans="1:2" ht="26.4" x14ac:dyDescent="0.3">
      <c r="A6" s="5" t="s">
        <v>6</v>
      </c>
      <c r="B6" s="6" t="s">
        <v>7</v>
      </c>
    </row>
    <row r="7" spans="1:2" ht="26.4" x14ac:dyDescent="0.3">
      <c r="A7" s="5" t="s">
        <v>8</v>
      </c>
      <c r="B7" s="6" t="s">
        <v>9</v>
      </c>
    </row>
    <row r="8" spans="1:2" x14ac:dyDescent="0.3">
      <c r="A8" s="5" t="s">
        <v>10</v>
      </c>
      <c r="B8" s="6" t="s">
        <v>11</v>
      </c>
    </row>
    <row r="9" spans="1:2" x14ac:dyDescent="0.3">
      <c r="A9" s="5" t="s">
        <v>12</v>
      </c>
      <c r="B9" s="6" t="s">
        <v>13</v>
      </c>
    </row>
    <row r="10" spans="1:2" x14ac:dyDescent="0.3">
      <c r="A10" s="5" t="s">
        <v>14</v>
      </c>
      <c r="B10" s="6" t="s">
        <v>15</v>
      </c>
    </row>
    <row r="11" spans="1:2" x14ac:dyDescent="0.3">
      <c r="A11" s="5" t="s">
        <v>16</v>
      </c>
      <c r="B11" s="6" t="s">
        <v>17</v>
      </c>
    </row>
    <row r="12" spans="1:2" x14ac:dyDescent="0.3">
      <c r="A12" s="5" t="s">
        <v>18</v>
      </c>
      <c r="B12" s="6" t="s">
        <v>19</v>
      </c>
    </row>
    <row r="13" spans="1:2" ht="26.4" x14ac:dyDescent="0.3">
      <c r="A13" s="5" t="s">
        <v>20</v>
      </c>
      <c r="B13" s="6" t="s">
        <v>21</v>
      </c>
    </row>
    <row r="14" spans="1:2" ht="26.4" x14ac:dyDescent="0.3">
      <c r="A14" s="5" t="s">
        <v>22</v>
      </c>
      <c r="B14" s="6" t="s">
        <v>23</v>
      </c>
    </row>
    <row r="15" spans="1:2" x14ac:dyDescent="0.3">
      <c r="A15" s="5" t="s">
        <v>24</v>
      </c>
      <c r="B15" s="7" t="s">
        <v>25</v>
      </c>
    </row>
  </sheetData>
  <hyperlinks>
    <hyperlink ref="B15" r:id="rId1" xr:uid="{00000000-0004-0000-0000-000000000000}"/>
  </hyperlinks>
  <pageMargins left="0.75" right="0.75" top="1" bottom="1" header="0.511811023622047" footer="0.511811023622047"/>
  <pageSetup paperSize="9" orientation="portrait" horizontalDpi="300" verticalDpi="30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49"/>
  <sheetViews>
    <sheetView showGridLines="0" zoomScaleNormal="100" workbookViewId="0">
      <pane xSplit="2" ySplit="4" topLeftCell="C56" activePane="bottomRight" state="frozen"/>
      <selection pane="topRight" activeCell="C1" sqref="C1"/>
      <selection pane="bottomLeft" activeCell="A5" sqref="A5"/>
      <selection pane="bottomRight" activeCell="C17" sqref="C17"/>
    </sheetView>
  </sheetViews>
  <sheetFormatPr defaultColWidth="8.6640625" defaultRowHeight="14.4" x14ac:dyDescent="0.3"/>
  <cols>
    <col min="1" max="1" width="9" customWidth="1"/>
    <col min="2" max="2" width="34" customWidth="1"/>
    <col min="3" max="3" width="20" customWidth="1"/>
    <col min="4" max="4" width="16" customWidth="1"/>
    <col min="5" max="5" width="11" customWidth="1"/>
    <col min="6" max="6" width="16" customWidth="1"/>
    <col min="7" max="7" width="30" customWidth="1"/>
    <col min="8" max="8" width="13" customWidth="1"/>
    <col min="9" max="9" width="22" customWidth="1"/>
    <col min="10" max="10" width="11" customWidth="1"/>
    <col min="11" max="11" width="10" customWidth="1"/>
    <col min="12" max="12" width="40" customWidth="1"/>
    <col min="13" max="13" width="34" customWidth="1"/>
    <col min="14" max="14" width="26" customWidth="1"/>
    <col min="15" max="15" width="22" customWidth="1"/>
    <col min="16" max="16" width="10" customWidth="1"/>
    <col min="17" max="18" width="18" customWidth="1"/>
    <col min="19" max="28" width="10" customWidth="1"/>
    <col min="29" max="29" width="40" customWidth="1"/>
    <col min="30" max="33" width="13" customWidth="1"/>
    <col min="34" max="38" width="10" customWidth="1"/>
    <col min="39" max="39" width="40" customWidth="1"/>
    <col min="40" max="50" width="11" customWidth="1"/>
  </cols>
  <sheetData>
    <row r="1" spans="1:50" ht="17.399999999999999" x14ac:dyDescent="0.3">
      <c r="A1" s="1" t="s">
        <v>26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2" spans="1:50" x14ac:dyDescent="0.3">
      <c r="A2" s="3" t="s">
        <v>27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row>
    <row r="3" spans="1:50"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ht="42" customHeight="1" x14ac:dyDescent="0.3">
      <c r="A4" s="4" t="s">
        <v>28</v>
      </c>
      <c r="B4" s="4" t="s">
        <v>29</v>
      </c>
      <c r="C4" s="4" t="s">
        <v>30</v>
      </c>
      <c r="D4" s="4" t="s">
        <v>31</v>
      </c>
      <c r="E4" s="4" t="s">
        <v>32</v>
      </c>
      <c r="F4" s="4" t="s">
        <v>33</v>
      </c>
      <c r="G4" s="4" t="s">
        <v>34</v>
      </c>
      <c r="H4" s="4" t="s">
        <v>35</v>
      </c>
      <c r="I4" s="4" t="s">
        <v>36</v>
      </c>
      <c r="J4" s="4" t="s">
        <v>37</v>
      </c>
      <c r="K4" s="4" t="s">
        <v>38</v>
      </c>
      <c r="L4" s="4" t="s">
        <v>39</v>
      </c>
      <c r="M4" s="4" t="s">
        <v>40</v>
      </c>
      <c r="N4" s="4" t="s">
        <v>41</v>
      </c>
      <c r="O4" s="4" t="s">
        <v>42</v>
      </c>
      <c r="P4" s="4" t="s">
        <v>43</v>
      </c>
      <c r="Q4" s="4" t="s">
        <v>44</v>
      </c>
      <c r="R4" s="4" t="s">
        <v>45</v>
      </c>
      <c r="S4" s="4" t="s">
        <v>46</v>
      </c>
      <c r="T4" s="4" t="s">
        <v>47</v>
      </c>
      <c r="U4" s="4" t="s">
        <v>48</v>
      </c>
      <c r="V4" s="4" t="s">
        <v>49</v>
      </c>
      <c r="W4" s="4" t="s">
        <v>50</v>
      </c>
      <c r="X4" s="4" t="s">
        <v>51</v>
      </c>
      <c r="Y4" s="4" t="s">
        <v>52</v>
      </c>
      <c r="Z4" s="4" t="s">
        <v>53</v>
      </c>
      <c r="AA4" s="4" t="s">
        <v>54</v>
      </c>
      <c r="AB4" s="4" t="s">
        <v>55</v>
      </c>
      <c r="AC4" s="4" t="s">
        <v>56</v>
      </c>
      <c r="AD4" s="4" t="s">
        <v>57</v>
      </c>
      <c r="AE4" s="4" t="s">
        <v>58</v>
      </c>
      <c r="AF4" s="4" t="s">
        <v>59</v>
      </c>
      <c r="AG4" s="4" t="s">
        <v>60</v>
      </c>
      <c r="AH4" s="4" t="s">
        <v>61</v>
      </c>
      <c r="AI4" s="4" t="s">
        <v>62</v>
      </c>
      <c r="AJ4" s="4" t="s">
        <v>63</v>
      </c>
      <c r="AK4" s="4" t="s">
        <v>64</v>
      </c>
      <c r="AL4" s="4" t="s">
        <v>65</v>
      </c>
      <c r="AM4" s="4" t="s">
        <v>66</v>
      </c>
      <c r="AN4" s="4" t="s">
        <v>67</v>
      </c>
      <c r="AO4" s="4" t="s">
        <v>68</v>
      </c>
      <c r="AP4" s="4" t="s">
        <v>69</v>
      </c>
      <c r="AQ4" s="4" t="s">
        <v>70</v>
      </c>
      <c r="AR4" s="4" t="s">
        <v>71</v>
      </c>
      <c r="AS4" s="4" t="s">
        <v>72</v>
      </c>
      <c r="AT4" s="4" t="s">
        <v>73</v>
      </c>
      <c r="AU4" s="4" t="s">
        <v>74</v>
      </c>
      <c r="AV4" s="4" t="s">
        <v>75</v>
      </c>
      <c r="AW4" s="4" t="s">
        <v>76</v>
      </c>
      <c r="AX4" s="4" t="s">
        <v>77</v>
      </c>
    </row>
    <row r="5" spans="1:50" x14ac:dyDescent="0.3">
      <c r="A5" s="5" t="s">
        <v>78</v>
      </c>
      <c r="B5" s="6" t="s">
        <v>79</v>
      </c>
      <c r="C5" s="5" t="s">
        <v>80</v>
      </c>
      <c r="D5" s="5" t="s">
        <v>81</v>
      </c>
      <c r="E5" s="5" t="s">
        <v>82</v>
      </c>
      <c r="F5" s="5" t="s">
        <v>83</v>
      </c>
      <c r="G5" s="8" t="s">
        <v>84</v>
      </c>
      <c r="H5" s="9">
        <v>46316</v>
      </c>
      <c r="I5" s="5" t="s">
        <v>85</v>
      </c>
      <c r="J5" s="5" t="str">
        <f>IF(OR(tblData[[#This Row],[Assurance category]]="Independent assurance",tblData[[#This Row],[Assurance category]]="Verification only"),"Y","N")</f>
        <v>N</v>
      </c>
      <c r="K5" s="5" t="s">
        <v>82</v>
      </c>
      <c r="L5" s="6" t="s">
        <v>86</v>
      </c>
      <c r="M5" s="6" t="s">
        <v>86</v>
      </c>
      <c r="N5" s="5" t="s">
        <v>86</v>
      </c>
      <c r="O5" s="5" t="s">
        <v>86</v>
      </c>
      <c r="P5" s="5" t="s">
        <v>86</v>
      </c>
      <c r="Q5" s="5" t="s">
        <v>86</v>
      </c>
      <c r="R5" s="5" t="s">
        <v>86</v>
      </c>
      <c r="S5" s="5" t="s">
        <v>87</v>
      </c>
      <c r="T5" s="5" t="s">
        <v>86</v>
      </c>
      <c r="U5" s="5" t="s">
        <v>87</v>
      </c>
      <c r="V5" s="5" t="s">
        <v>86</v>
      </c>
      <c r="W5" s="5" t="s">
        <v>82</v>
      </c>
      <c r="X5" s="5" t="s">
        <v>86</v>
      </c>
      <c r="Y5" s="5" t="s">
        <v>86</v>
      </c>
      <c r="Z5" s="5" t="s">
        <v>86</v>
      </c>
      <c r="AA5" s="5" t="s">
        <v>86</v>
      </c>
      <c r="AB5" s="5" t="s">
        <v>86</v>
      </c>
      <c r="AC5" s="6" t="s">
        <v>86</v>
      </c>
      <c r="AD5" s="5" t="s">
        <v>86</v>
      </c>
      <c r="AE5" s="5" t="s">
        <v>86</v>
      </c>
      <c r="AF5" s="5" t="s">
        <v>86</v>
      </c>
      <c r="AG5" s="5" t="s">
        <v>86</v>
      </c>
      <c r="AH5" s="5" t="s">
        <v>86</v>
      </c>
      <c r="AI5" s="5" t="s">
        <v>86</v>
      </c>
      <c r="AJ5" s="5" t="s">
        <v>86</v>
      </c>
      <c r="AK5" s="5" t="s">
        <v>86</v>
      </c>
      <c r="AL5" s="5" t="s">
        <v>86</v>
      </c>
      <c r="AM5" s="6" t="s">
        <v>88</v>
      </c>
      <c r="AN5" s="5" t="str">
        <f>IF(tblData[[#This Row],[External statement]]="N","",IF(tblData[[#This Row],[Independence statement]]="Y",1,0))</f>
        <v/>
      </c>
      <c r="AO5" s="5" t="str">
        <f>IF(tblData[[#This Row],[External statement]]="N","",IF(tblData[[#This Row],[QM or ethics reference]]="Y",1,0))</f>
        <v/>
      </c>
      <c r="AP5" s="5" t="str">
        <f>IF(tblData[[#This Row],[External statement]]="N","",IF(OR(tblData[[#This Row],[Assurance level]]="Limited",tblData[[#This Row],[Assurance level]]="Reasonable"),1,0))</f>
        <v/>
      </c>
      <c r="AQ5" s="5" t="str">
        <f>IF(tblData[[#This Row],[External statement]]="N","",IF(ISNUMBER(SEARCH("ISAE",tblData[[#This Row],[Standard]])),1,0))</f>
        <v/>
      </c>
      <c r="AR5" s="5" t="str">
        <f>IF(tblData[[#This Row],[External statement]]="N","",IF(OR(tblData[[#This Row],[Conclusion]]="Unmodified",tblData[[#This Row],[Conclusion]]="Modified"),1,0))</f>
        <v/>
      </c>
      <c r="AS5" s="5" t="str">
        <f>IF(tblData[[#This Row],[External statement]]="N","",tblData[[#This Row],[C1 Independence]]+tblData[[#This Row],[C2 Quality management]]+tblData[[#This Row],[C3 Level]]+tblData[[#This Row],[C4 Standard]]+tblData[[#This Row],[C5 Conclusion]])</f>
        <v/>
      </c>
      <c r="AT5" s="5" t="str">
        <f>IF(tblData[[#This Row],[External statement]]="N","",IF(AND(tblData[[#This Row],[Scope 1 assured]]="Y",OR(tblData[[#This Row],[Scope 2 assured]]="Y",tblData[[#This Row],[Scope 2 assured]]="N/A")),1,0))</f>
        <v/>
      </c>
      <c r="AU5" s="5" t="str">
        <f>IF(tblData[[#This Row],[External statement]]="N","",IF(tblData[[#This Row],[Figures listed]]="Y",1,0))</f>
        <v/>
      </c>
      <c r="AV5" s="5" t="str">
        <f>IF(tblData[[#This Row],[External statement]]="N","",tblData[[#This Row],[P1 Scope 1 and 2]]+tblData[[#This Row],[P2 Figures]])</f>
        <v/>
      </c>
      <c r="AW5" s="5" t="str">
        <f>IF(tblData[[#This Row],[External statement]]="N","",tblData[[#This Row],[Core score]]+tblData[[#This Row],[PSPK score]])</f>
        <v/>
      </c>
      <c r="AX5" s="5" t="str">
        <f>IF(tblData[[#This Row],[External statement]]="N","",IF(tblData[[#This Row],[Core score]]=5,"Y","N"))</f>
        <v/>
      </c>
    </row>
    <row r="6" spans="1:50" ht="26.4" x14ac:dyDescent="0.3">
      <c r="A6" s="5" t="s">
        <v>89</v>
      </c>
      <c r="B6" s="6" t="s">
        <v>90</v>
      </c>
      <c r="C6" s="5" t="s">
        <v>80</v>
      </c>
      <c r="D6" s="5" t="s">
        <v>81</v>
      </c>
      <c r="E6" s="5" t="s">
        <v>82</v>
      </c>
      <c r="F6" s="5" t="s">
        <v>83</v>
      </c>
      <c r="G6" s="8" t="s">
        <v>91</v>
      </c>
      <c r="H6" s="9">
        <v>46316</v>
      </c>
      <c r="I6" s="5" t="s">
        <v>85</v>
      </c>
      <c r="J6" s="5" t="str">
        <f>IF(OR(tblData[[#This Row],[Assurance category]]="Independent assurance",tblData[[#This Row],[Assurance category]]="Verification only"),"Y","N")</f>
        <v>N</v>
      </c>
      <c r="K6" s="5" t="s">
        <v>82</v>
      </c>
      <c r="L6" s="6" t="s">
        <v>86</v>
      </c>
      <c r="M6" s="6" t="s">
        <v>86</v>
      </c>
      <c r="N6" s="5" t="s">
        <v>86</v>
      </c>
      <c r="O6" s="5" t="s">
        <v>86</v>
      </c>
      <c r="P6" s="5" t="s">
        <v>86</v>
      </c>
      <c r="Q6" s="5" t="s">
        <v>86</v>
      </c>
      <c r="R6" s="5" t="s">
        <v>86</v>
      </c>
      <c r="S6" s="5" t="s">
        <v>87</v>
      </c>
      <c r="T6" s="5" t="s">
        <v>86</v>
      </c>
      <c r="U6" s="5" t="s">
        <v>87</v>
      </c>
      <c r="V6" s="5" t="s">
        <v>86</v>
      </c>
      <c r="W6" s="5" t="s">
        <v>82</v>
      </c>
      <c r="X6" s="5" t="s">
        <v>86</v>
      </c>
      <c r="Y6" s="5" t="s">
        <v>86</v>
      </c>
      <c r="Z6" s="5" t="s">
        <v>86</v>
      </c>
      <c r="AA6" s="5" t="s">
        <v>86</v>
      </c>
      <c r="AB6" s="5" t="s">
        <v>86</v>
      </c>
      <c r="AC6" s="6" t="s">
        <v>86</v>
      </c>
      <c r="AD6" s="5" t="s">
        <v>86</v>
      </c>
      <c r="AE6" s="5" t="s">
        <v>86</v>
      </c>
      <c r="AF6" s="5" t="s">
        <v>86</v>
      </c>
      <c r="AG6" s="5" t="s">
        <v>86</v>
      </c>
      <c r="AH6" s="5" t="s">
        <v>86</v>
      </c>
      <c r="AI6" s="5" t="s">
        <v>86</v>
      </c>
      <c r="AJ6" s="5" t="s">
        <v>86</v>
      </c>
      <c r="AK6" s="5" t="s">
        <v>86</v>
      </c>
      <c r="AL6" s="5" t="s">
        <v>86</v>
      </c>
      <c r="AM6" s="6" t="s">
        <v>92</v>
      </c>
      <c r="AN6" s="5" t="str">
        <f>IF(tblData[[#This Row],[External statement]]="N","",IF(tblData[[#This Row],[Independence statement]]="Y",1,0))</f>
        <v/>
      </c>
      <c r="AO6" s="5" t="str">
        <f>IF(tblData[[#This Row],[External statement]]="N","",IF(tblData[[#This Row],[QM or ethics reference]]="Y",1,0))</f>
        <v/>
      </c>
      <c r="AP6" s="5" t="str">
        <f>IF(tblData[[#This Row],[External statement]]="N","",IF(OR(tblData[[#This Row],[Assurance level]]="Limited",tblData[[#This Row],[Assurance level]]="Reasonable"),1,0))</f>
        <v/>
      </c>
      <c r="AQ6" s="5" t="str">
        <f>IF(tblData[[#This Row],[External statement]]="N","",IF(ISNUMBER(SEARCH("ISAE",tblData[[#This Row],[Standard]])),1,0))</f>
        <v/>
      </c>
      <c r="AR6" s="5" t="str">
        <f>IF(tblData[[#This Row],[External statement]]="N","",IF(OR(tblData[[#This Row],[Conclusion]]="Unmodified",tblData[[#This Row],[Conclusion]]="Modified"),1,0))</f>
        <v/>
      </c>
      <c r="AS6" s="5" t="str">
        <f>IF(tblData[[#This Row],[External statement]]="N","",tblData[[#This Row],[C1 Independence]]+tblData[[#This Row],[C2 Quality management]]+tblData[[#This Row],[C3 Level]]+tblData[[#This Row],[C4 Standard]]+tblData[[#This Row],[C5 Conclusion]])</f>
        <v/>
      </c>
      <c r="AT6" s="5" t="str">
        <f>IF(tblData[[#This Row],[External statement]]="N","",IF(AND(tblData[[#This Row],[Scope 1 assured]]="Y",OR(tblData[[#This Row],[Scope 2 assured]]="Y",tblData[[#This Row],[Scope 2 assured]]="N/A")),1,0))</f>
        <v/>
      </c>
      <c r="AU6" s="5" t="str">
        <f>IF(tblData[[#This Row],[External statement]]="N","",IF(tblData[[#This Row],[Figures listed]]="Y",1,0))</f>
        <v/>
      </c>
      <c r="AV6" s="5" t="str">
        <f>IF(tblData[[#This Row],[External statement]]="N","",tblData[[#This Row],[P1 Scope 1 and 2]]+tblData[[#This Row],[P2 Figures]])</f>
        <v/>
      </c>
      <c r="AW6" s="5" t="str">
        <f>IF(tblData[[#This Row],[External statement]]="N","",tblData[[#This Row],[Core score]]+tblData[[#This Row],[PSPK score]])</f>
        <v/>
      </c>
      <c r="AX6" s="5" t="str">
        <f>IF(tblData[[#This Row],[External statement]]="N","",IF(tblData[[#This Row],[Core score]]=5,"Y","N"))</f>
        <v/>
      </c>
    </row>
    <row r="7" spans="1:50" ht="26.4" x14ac:dyDescent="0.3">
      <c r="A7" s="5" t="s">
        <v>93</v>
      </c>
      <c r="B7" s="6" t="s">
        <v>94</v>
      </c>
      <c r="C7" s="5" t="s">
        <v>80</v>
      </c>
      <c r="D7" s="5" t="s">
        <v>81</v>
      </c>
      <c r="E7" s="5" t="s">
        <v>82</v>
      </c>
      <c r="F7" s="5" t="s">
        <v>83</v>
      </c>
      <c r="G7" s="8" t="s">
        <v>95</v>
      </c>
      <c r="H7" s="9">
        <v>46316</v>
      </c>
      <c r="I7" s="5" t="s">
        <v>85</v>
      </c>
      <c r="J7" s="5" t="str">
        <f>IF(OR(tblData[[#This Row],[Assurance category]]="Independent assurance",tblData[[#This Row],[Assurance category]]="Verification only"),"Y","N")</f>
        <v>N</v>
      </c>
      <c r="K7" s="5" t="s">
        <v>87</v>
      </c>
      <c r="L7" s="6" t="s">
        <v>96</v>
      </c>
      <c r="M7" s="6" t="s">
        <v>86</v>
      </c>
      <c r="N7" s="5" t="s">
        <v>86</v>
      </c>
      <c r="O7" s="5" t="s">
        <v>86</v>
      </c>
      <c r="P7" s="5" t="s">
        <v>86</v>
      </c>
      <c r="Q7" s="5" t="s">
        <v>86</v>
      </c>
      <c r="R7" s="5" t="s">
        <v>86</v>
      </c>
      <c r="S7" s="5" t="s">
        <v>87</v>
      </c>
      <c r="T7" s="5" t="s">
        <v>86</v>
      </c>
      <c r="U7" s="5" t="s">
        <v>87</v>
      </c>
      <c r="V7" s="5" t="s">
        <v>86</v>
      </c>
      <c r="W7" s="5" t="s">
        <v>82</v>
      </c>
      <c r="X7" s="5" t="s">
        <v>86</v>
      </c>
      <c r="Y7" s="5" t="s">
        <v>86</v>
      </c>
      <c r="Z7" s="5" t="s">
        <v>86</v>
      </c>
      <c r="AA7" s="5" t="s">
        <v>86</v>
      </c>
      <c r="AB7" s="5" t="s">
        <v>86</v>
      </c>
      <c r="AC7" s="6" t="s">
        <v>86</v>
      </c>
      <c r="AD7" s="5" t="s">
        <v>86</v>
      </c>
      <c r="AE7" s="5" t="s">
        <v>86</v>
      </c>
      <c r="AF7" s="5" t="s">
        <v>86</v>
      </c>
      <c r="AG7" s="5" t="s">
        <v>86</v>
      </c>
      <c r="AH7" s="5" t="s">
        <v>86</v>
      </c>
      <c r="AI7" s="5" t="s">
        <v>86</v>
      </c>
      <c r="AJ7" s="5" t="s">
        <v>86</v>
      </c>
      <c r="AK7" s="5" t="s">
        <v>86</v>
      </c>
      <c r="AL7" s="5" t="s">
        <v>86</v>
      </c>
      <c r="AM7" s="6" t="s">
        <v>97</v>
      </c>
      <c r="AN7" s="5" t="str">
        <f>IF(tblData[[#This Row],[External statement]]="N","",IF(tblData[[#This Row],[Independence statement]]="Y",1,0))</f>
        <v/>
      </c>
      <c r="AO7" s="5" t="str">
        <f>IF(tblData[[#This Row],[External statement]]="N","",IF(tblData[[#This Row],[QM or ethics reference]]="Y",1,0))</f>
        <v/>
      </c>
      <c r="AP7" s="5" t="str">
        <f>IF(tblData[[#This Row],[External statement]]="N","",IF(OR(tblData[[#This Row],[Assurance level]]="Limited",tblData[[#This Row],[Assurance level]]="Reasonable"),1,0))</f>
        <v/>
      </c>
      <c r="AQ7" s="5" t="str">
        <f>IF(tblData[[#This Row],[External statement]]="N","",IF(ISNUMBER(SEARCH("ISAE",tblData[[#This Row],[Standard]])),1,0))</f>
        <v/>
      </c>
      <c r="AR7" s="5" t="str">
        <f>IF(tblData[[#This Row],[External statement]]="N","",IF(OR(tblData[[#This Row],[Conclusion]]="Unmodified",tblData[[#This Row],[Conclusion]]="Modified"),1,0))</f>
        <v/>
      </c>
      <c r="AS7" s="5" t="str">
        <f>IF(tblData[[#This Row],[External statement]]="N","",tblData[[#This Row],[C1 Independence]]+tblData[[#This Row],[C2 Quality management]]+tblData[[#This Row],[C3 Level]]+tblData[[#This Row],[C4 Standard]]+tblData[[#This Row],[C5 Conclusion]])</f>
        <v/>
      </c>
      <c r="AT7" s="5" t="str">
        <f>IF(tblData[[#This Row],[External statement]]="N","",IF(AND(tblData[[#This Row],[Scope 1 assured]]="Y",OR(tblData[[#This Row],[Scope 2 assured]]="Y",tblData[[#This Row],[Scope 2 assured]]="N/A")),1,0))</f>
        <v/>
      </c>
      <c r="AU7" s="5" t="str">
        <f>IF(tblData[[#This Row],[External statement]]="N","",IF(tblData[[#This Row],[Figures listed]]="Y",1,0))</f>
        <v/>
      </c>
      <c r="AV7" s="5" t="str">
        <f>IF(tblData[[#This Row],[External statement]]="N","",tblData[[#This Row],[P1 Scope 1 and 2]]+tblData[[#This Row],[P2 Figures]])</f>
        <v/>
      </c>
      <c r="AW7" s="5" t="str">
        <f>IF(tblData[[#This Row],[External statement]]="N","",tblData[[#This Row],[Core score]]+tblData[[#This Row],[PSPK score]])</f>
        <v/>
      </c>
      <c r="AX7" s="5" t="str">
        <f>IF(tblData[[#This Row],[External statement]]="N","",IF(tblData[[#This Row],[Core score]]=5,"Y","N"))</f>
        <v/>
      </c>
    </row>
    <row r="8" spans="1:50" ht="39.6" x14ac:dyDescent="0.3">
      <c r="A8" s="5" t="s">
        <v>98</v>
      </c>
      <c r="B8" s="6" t="s">
        <v>99</v>
      </c>
      <c r="C8" s="5" t="s">
        <v>80</v>
      </c>
      <c r="D8" s="5"/>
      <c r="E8" s="5" t="s">
        <v>82</v>
      </c>
      <c r="F8" s="5" t="s">
        <v>83</v>
      </c>
      <c r="G8" s="8" t="s">
        <v>100</v>
      </c>
      <c r="H8" s="9">
        <v>46316</v>
      </c>
      <c r="I8" s="5" t="s">
        <v>85</v>
      </c>
      <c r="J8" s="5" t="str">
        <f>IF(OR(tblData[[#This Row],[Assurance category]]="Independent assurance",tblData[[#This Row],[Assurance category]]="Verification only"),"Y","N")</f>
        <v>N</v>
      </c>
      <c r="K8" s="5" t="s">
        <v>87</v>
      </c>
      <c r="L8" s="6" t="s">
        <v>101</v>
      </c>
      <c r="M8" s="6" t="s">
        <v>86</v>
      </c>
      <c r="N8" s="5" t="s">
        <v>86</v>
      </c>
      <c r="O8" s="5" t="s">
        <v>86</v>
      </c>
      <c r="P8" s="5" t="s">
        <v>86</v>
      </c>
      <c r="Q8" s="5" t="s">
        <v>86</v>
      </c>
      <c r="R8" s="5" t="s">
        <v>86</v>
      </c>
      <c r="S8" s="5" t="s">
        <v>87</v>
      </c>
      <c r="T8" s="5" t="s">
        <v>86</v>
      </c>
      <c r="U8" s="5" t="s">
        <v>87</v>
      </c>
      <c r="V8" s="5" t="s">
        <v>86</v>
      </c>
      <c r="W8" s="5" t="s">
        <v>87</v>
      </c>
      <c r="X8" s="5" t="s">
        <v>86</v>
      </c>
      <c r="Y8" s="5" t="s">
        <v>86</v>
      </c>
      <c r="Z8" s="5" t="s">
        <v>86</v>
      </c>
      <c r="AA8" s="5" t="s">
        <v>86</v>
      </c>
      <c r="AB8" s="5" t="s">
        <v>86</v>
      </c>
      <c r="AC8" s="6" t="s">
        <v>86</v>
      </c>
      <c r="AD8" s="5" t="s">
        <v>86</v>
      </c>
      <c r="AE8" s="5" t="s">
        <v>86</v>
      </c>
      <c r="AF8" s="5" t="s">
        <v>86</v>
      </c>
      <c r="AG8" s="5" t="s">
        <v>86</v>
      </c>
      <c r="AH8" s="5" t="s">
        <v>86</v>
      </c>
      <c r="AI8" s="5" t="s">
        <v>86</v>
      </c>
      <c r="AJ8" s="5" t="s">
        <v>86</v>
      </c>
      <c r="AK8" s="5" t="s">
        <v>86</v>
      </c>
      <c r="AL8" s="5" t="s">
        <v>86</v>
      </c>
      <c r="AM8" s="6" t="s">
        <v>102</v>
      </c>
      <c r="AN8" s="5" t="str">
        <f>IF(tblData[[#This Row],[External statement]]="N","",IF(tblData[[#This Row],[Independence statement]]="Y",1,0))</f>
        <v/>
      </c>
      <c r="AO8" s="5" t="str">
        <f>IF(tblData[[#This Row],[External statement]]="N","",IF(tblData[[#This Row],[QM or ethics reference]]="Y",1,0))</f>
        <v/>
      </c>
      <c r="AP8" s="5" t="str">
        <f>IF(tblData[[#This Row],[External statement]]="N","",IF(OR(tblData[[#This Row],[Assurance level]]="Limited",tblData[[#This Row],[Assurance level]]="Reasonable"),1,0))</f>
        <v/>
      </c>
      <c r="AQ8" s="5" t="str">
        <f>IF(tblData[[#This Row],[External statement]]="N","",IF(ISNUMBER(SEARCH("ISAE",tblData[[#This Row],[Standard]])),1,0))</f>
        <v/>
      </c>
      <c r="AR8" s="5" t="str">
        <f>IF(tblData[[#This Row],[External statement]]="N","",IF(OR(tblData[[#This Row],[Conclusion]]="Unmodified",tblData[[#This Row],[Conclusion]]="Modified"),1,0))</f>
        <v/>
      </c>
      <c r="AS8" s="5" t="str">
        <f>IF(tblData[[#This Row],[External statement]]="N","",tblData[[#This Row],[C1 Independence]]+tblData[[#This Row],[C2 Quality management]]+tblData[[#This Row],[C3 Level]]+tblData[[#This Row],[C4 Standard]]+tblData[[#This Row],[C5 Conclusion]])</f>
        <v/>
      </c>
      <c r="AT8" s="5" t="str">
        <f>IF(tblData[[#This Row],[External statement]]="N","",IF(AND(tblData[[#This Row],[Scope 1 assured]]="Y",OR(tblData[[#This Row],[Scope 2 assured]]="Y",tblData[[#This Row],[Scope 2 assured]]="N/A")),1,0))</f>
        <v/>
      </c>
      <c r="AU8" s="5" t="str">
        <f>IF(tblData[[#This Row],[External statement]]="N","",IF(tblData[[#This Row],[Figures listed]]="Y",1,0))</f>
        <v/>
      </c>
      <c r="AV8" s="5" t="str">
        <f>IF(tblData[[#This Row],[External statement]]="N","",tblData[[#This Row],[P1 Scope 1 and 2]]+tblData[[#This Row],[P2 Figures]])</f>
        <v/>
      </c>
      <c r="AW8" s="5" t="str">
        <f>IF(tblData[[#This Row],[External statement]]="N","",tblData[[#This Row],[Core score]]+tblData[[#This Row],[PSPK score]])</f>
        <v/>
      </c>
      <c r="AX8" s="5" t="str">
        <f>IF(tblData[[#This Row],[External statement]]="N","",IF(tblData[[#This Row],[Core score]]=5,"Y","N"))</f>
        <v/>
      </c>
    </row>
    <row r="9" spans="1:50" ht="26.4" x14ac:dyDescent="0.3">
      <c r="A9" s="5" t="s">
        <v>103</v>
      </c>
      <c r="B9" s="6" t="s">
        <v>104</v>
      </c>
      <c r="C9" s="5" t="s">
        <v>105</v>
      </c>
      <c r="D9" s="5"/>
      <c r="E9" s="5" t="s">
        <v>82</v>
      </c>
      <c r="F9" s="5" t="s">
        <v>83</v>
      </c>
      <c r="G9" s="8" t="s">
        <v>106</v>
      </c>
      <c r="H9" s="9">
        <v>46316</v>
      </c>
      <c r="I9" s="5" t="s">
        <v>107</v>
      </c>
      <c r="J9" s="5" t="str">
        <f>IF(OR(tblData[[#This Row],[Assurance category]]="Independent assurance",tblData[[#This Row],[Assurance category]]="Verification only"),"Y","N")</f>
        <v>Y</v>
      </c>
      <c r="K9" s="5" t="s">
        <v>87</v>
      </c>
      <c r="L9" s="6" t="s">
        <v>108</v>
      </c>
      <c r="M9" s="6" t="s">
        <v>109</v>
      </c>
      <c r="N9" s="5" t="s">
        <v>109</v>
      </c>
      <c r="O9" s="5" t="s">
        <v>110</v>
      </c>
      <c r="P9" s="5" t="s">
        <v>86</v>
      </c>
      <c r="Q9" s="5" t="s">
        <v>109</v>
      </c>
      <c r="R9" s="5" t="s">
        <v>111</v>
      </c>
      <c r="S9" s="5" t="s">
        <v>87</v>
      </c>
      <c r="T9" s="5" t="s">
        <v>82</v>
      </c>
      <c r="U9" s="5" t="s">
        <v>86</v>
      </c>
      <c r="V9" s="5" t="s">
        <v>86</v>
      </c>
      <c r="W9" s="5" t="s">
        <v>82</v>
      </c>
      <c r="X9" s="5" t="s">
        <v>82</v>
      </c>
      <c r="Y9" s="5" t="s">
        <v>82</v>
      </c>
      <c r="Z9" s="5" t="s">
        <v>82</v>
      </c>
      <c r="AA9" s="5" t="s">
        <v>82</v>
      </c>
      <c r="AB9" s="5" t="s">
        <v>82</v>
      </c>
      <c r="AC9" s="6" t="s">
        <v>112</v>
      </c>
      <c r="AD9" s="5" t="s">
        <v>82</v>
      </c>
      <c r="AE9" s="5" t="s">
        <v>82</v>
      </c>
      <c r="AF9" s="5" t="s">
        <v>82</v>
      </c>
      <c r="AG9" s="5" t="s">
        <v>113</v>
      </c>
      <c r="AH9" s="5" t="s">
        <v>82</v>
      </c>
      <c r="AI9" s="5" t="s">
        <v>82</v>
      </c>
      <c r="AJ9" s="5" t="s">
        <v>82</v>
      </c>
      <c r="AK9" s="5" t="s">
        <v>82</v>
      </c>
      <c r="AL9" s="5" t="s">
        <v>86</v>
      </c>
      <c r="AM9" s="6" t="s">
        <v>114</v>
      </c>
      <c r="AN9" s="5">
        <f>IF(tblData[[#This Row],[External statement]]="N","",IF(tblData[[#This Row],[Independence statement]]="Y",1,0))</f>
        <v>0</v>
      </c>
      <c r="AO9" s="5">
        <f>IF(tblData[[#This Row],[External statement]]="N","",IF(tblData[[#This Row],[QM or ethics reference]]="Y",1,0))</f>
        <v>0</v>
      </c>
      <c r="AP9" s="5">
        <f>IF(tblData[[#This Row],[External statement]]="N","",IF(OR(tblData[[#This Row],[Assurance level]]="Limited",tblData[[#This Row],[Assurance level]]="Reasonable"),1,0))</f>
        <v>0</v>
      </c>
      <c r="AQ9" s="5">
        <f>IF(tblData[[#This Row],[External statement]]="N","",IF(ISNUMBER(SEARCH("ISAE",tblData[[#This Row],[Standard]])),1,0))</f>
        <v>0</v>
      </c>
      <c r="AR9" s="5">
        <f>IF(tblData[[#This Row],[External statement]]="N","",IF(OR(tblData[[#This Row],[Conclusion]]="Unmodified",tblData[[#This Row],[Conclusion]]="Modified"),1,0))</f>
        <v>0</v>
      </c>
      <c r="AS9" s="5">
        <f>IF(tblData[[#This Row],[External statement]]="N","",tblData[[#This Row],[C1 Independence]]+tblData[[#This Row],[C2 Quality management]]+tblData[[#This Row],[C3 Level]]+tblData[[#This Row],[C4 Standard]]+tblData[[#This Row],[C5 Conclusion]])</f>
        <v>0</v>
      </c>
      <c r="AT9" s="5">
        <f>IF(tblData[[#This Row],[External statement]]="N","",IF(AND(tblData[[#This Row],[Scope 1 assured]]="Y",OR(tblData[[#This Row],[Scope 2 assured]]="Y",tblData[[#This Row],[Scope 2 assured]]="N/A")),1,0))</f>
        <v>0</v>
      </c>
      <c r="AU9" s="5">
        <f>IF(tblData[[#This Row],[External statement]]="N","",IF(tblData[[#This Row],[Figures listed]]="Y",1,0))</f>
        <v>0</v>
      </c>
      <c r="AV9" s="5">
        <f>IF(tblData[[#This Row],[External statement]]="N","",tblData[[#This Row],[P1 Scope 1 and 2]]+tblData[[#This Row],[P2 Figures]])</f>
        <v>0</v>
      </c>
      <c r="AW9" s="5">
        <f>IF(tblData[[#This Row],[External statement]]="N","",tblData[[#This Row],[Core score]]+tblData[[#This Row],[PSPK score]])</f>
        <v>0</v>
      </c>
      <c r="AX9" s="5" t="str">
        <f>IF(tblData[[#This Row],[External statement]]="N","",IF(tblData[[#This Row],[Core score]]=5,"Y","N"))</f>
        <v>N</v>
      </c>
    </row>
    <row r="10" spans="1:50" x14ac:dyDescent="0.3">
      <c r="A10" s="5" t="s">
        <v>115</v>
      </c>
      <c r="B10" s="6" t="s">
        <v>116</v>
      </c>
      <c r="C10" s="5" t="s">
        <v>117</v>
      </c>
      <c r="D10" s="5"/>
      <c r="E10" s="5" t="s">
        <v>82</v>
      </c>
      <c r="F10" s="5" t="s">
        <v>118</v>
      </c>
      <c r="G10" s="8" t="s">
        <v>119</v>
      </c>
      <c r="H10" s="9">
        <v>46316</v>
      </c>
      <c r="I10" s="5" t="s">
        <v>85</v>
      </c>
      <c r="J10" s="5" t="str">
        <f>IF(OR(tblData[[#This Row],[Assurance category]]="Independent assurance",tblData[[#This Row],[Assurance category]]="Verification only"),"Y","N")</f>
        <v>N</v>
      </c>
      <c r="K10" s="5" t="s">
        <v>82</v>
      </c>
      <c r="L10" s="6" t="s">
        <v>86</v>
      </c>
      <c r="M10" s="6" t="s">
        <v>86</v>
      </c>
      <c r="N10" s="5" t="s">
        <v>86</v>
      </c>
      <c r="O10" s="5" t="s">
        <v>86</v>
      </c>
      <c r="P10" s="5" t="s">
        <v>86</v>
      </c>
      <c r="Q10" s="5" t="s">
        <v>86</v>
      </c>
      <c r="R10" s="5" t="s">
        <v>86</v>
      </c>
      <c r="S10" s="5" t="s">
        <v>87</v>
      </c>
      <c r="T10" s="5" t="s">
        <v>86</v>
      </c>
      <c r="U10" s="5" t="s">
        <v>87</v>
      </c>
      <c r="V10" s="5" t="s">
        <v>86</v>
      </c>
      <c r="W10" s="5" t="s">
        <v>87</v>
      </c>
      <c r="X10" s="5" t="s">
        <v>86</v>
      </c>
      <c r="Y10" s="5" t="s">
        <v>86</v>
      </c>
      <c r="Z10" s="5" t="s">
        <v>86</v>
      </c>
      <c r="AA10" s="5" t="s">
        <v>86</v>
      </c>
      <c r="AB10" s="5" t="s">
        <v>86</v>
      </c>
      <c r="AC10" s="6" t="s">
        <v>86</v>
      </c>
      <c r="AD10" s="5" t="s">
        <v>86</v>
      </c>
      <c r="AE10" s="5" t="s">
        <v>86</v>
      </c>
      <c r="AF10" s="5" t="s">
        <v>86</v>
      </c>
      <c r="AG10" s="5" t="s">
        <v>86</v>
      </c>
      <c r="AH10" s="5" t="s">
        <v>86</v>
      </c>
      <c r="AI10" s="5" t="s">
        <v>86</v>
      </c>
      <c r="AJ10" s="5" t="s">
        <v>86</v>
      </c>
      <c r="AK10" s="5" t="s">
        <v>86</v>
      </c>
      <c r="AL10" s="5" t="s">
        <v>86</v>
      </c>
      <c r="AM10" s="6" t="s">
        <v>120</v>
      </c>
      <c r="AN10" s="5" t="str">
        <f>IF(tblData[[#This Row],[External statement]]="N","",IF(tblData[[#This Row],[Independence statement]]="Y",1,0))</f>
        <v/>
      </c>
      <c r="AO10" s="5" t="str">
        <f>IF(tblData[[#This Row],[External statement]]="N","",IF(tblData[[#This Row],[QM or ethics reference]]="Y",1,0))</f>
        <v/>
      </c>
      <c r="AP10" s="5" t="str">
        <f>IF(tblData[[#This Row],[External statement]]="N","",IF(OR(tblData[[#This Row],[Assurance level]]="Limited",tblData[[#This Row],[Assurance level]]="Reasonable"),1,0))</f>
        <v/>
      </c>
      <c r="AQ10" s="5" t="str">
        <f>IF(tblData[[#This Row],[External statement]]="N","",IF(ISNUMBER(SEARCH("ISAE",tblData[[#This Row],[Standard]])),1,0))</f>
        <v/>
      </c>
      <c r="AR10" s="5" t="str">
        <f>IF(tblData[[#This Row],[External statement]]="N","",IF(OR(tblData[[#This Row],[Conclusion]]="Unmodified",tblData[[#This Row],[Conclusion]]="Modified"),1,0))</f>
        <v/>
      </c>
      <c r="AS10" s="5" t="str">
        <f>IF(tblData[[#This Row],[External statement]]="N","",tblData[[#This Row],[C1 Independence]]+tblData[[#This Row],[C2 Quality management]]+tblData[[#This Row],[C3 Level]]+tblData[[#This Row],[C4 Standard]]+tblData[[#This Row],[C5 Conclusion]])</f>
        <v/>
      </c>
      <c r="AT10" s="5" t="str">
        <f>IF(tblData[[#This Row],[External statement]]="N","",IF(AND(tblData[[#This Row],[Scope 1 assured]]="Y",OR(tblData[[#This Row],[Scope 2 assured]]="Y",tblData[[#This Row],[Scope 2 assured]]="N/A")),1,0))</f>
        <v/>
      </c>
      <c r="AU10" s="5" t="str">
        <f>IF(tblData[[#This Row],[External statement]]="N","",IF(tblData[[#This Row],[Figures listed]]="Y",1,0))</f>
        <v/>
      </c>
      <c r="AV10" s="5" t="str">
        <f>IF(tblData[[#This Row],[External statement]]="N","",tblData[[#This Row],[P1 Scope 1 and 2]]+tblData[[#This Row],[P2 Figures]])</f>
        <v/>
      </c>
      <c r="AW10" s="5" t="str">
        <f>IF(tblData[[#This Row],[External statement]]="N","",tblData[[#This Row],[Core score]]+tblData[[#This Row],[PSPK score]])</f>
        <v/>
      </c>
      <c r="AX10" s="5" t="str">
        <f>IF(tblData[[#This Row],[External statement]]="N","",IF(tblData[[#This Row],[Core score]]=5,"Y","N"))</f>
        <v/>
      </c>
    </row>
    <row r="11" spans="1:50" ht="39.6" x14ac:dyDescent="0.3">
      <c r="A11" s="5" t="s">
        <v>121</v>
      </c>
      <c r="B11" s="6" t="s">
        <v>122</v>
      </c>
      <c r="C11" s="5" t="s">
        <v>105</v>
      </c>
      <c r="D11" s="5" t="s">
        <v>123</v>
      </c>
      <c r="E11" s="5" t="s">
        <v>87</v>
      </c>
      <c r="F11" s="5" t="s">
        <v>83</v>
      </c>
      <c r="G11" s="8" t="s">
        <v>124</v>
      </c>
      <c r="H11" s="9">
        <v>46316</v>
      </c>
      <c r="I11" s="5" t="s">
        <v>125</v>
      </c>
      <c r="J11" s="5" t="str">
        <f>IF(OR(tblData[[#This Row],[Assurance category]]="Independent assurance",tblData[[#This Row],[Assurance category]]="Verification only"),"Y","N")</f>
        <v>Y</v>
      </c>
      <c r="K11" s="5" t="s">
        <v>82</v>
      </c>
      <c r="L11" s="6" t="s">
        <v>86</v>
      </c>
      <c r="M11" s="6" t="s">
        <v>126</v>
      </c>
      <c r="N11" s="5" t="s">
        <v>127</v>
      </c>
      <c r="O11" s="5" t="s">
        <v>128</v>
      </c>
      <c r="P11" s="5" t="s">
        <v>129</v>
      </c>
      <c r="Q11" s="5" t="s">
        <v>130</v>
      </c>
      <c r="R11" s="5" t="s">
        <v>131</v>
      </c>
      <c r="S11" s="5" t="s">
        <v>87</v>
      </c>
      <c r="T11" s="5" t="s">
        <v>87</v>
      </c>
      <c r="U11" s="5" t="s">
        <v>87</v>
      </c>
      <c r="V11" s="5" t="s">
        <v>87</v>
      </c>
      <c r="W11" s="5" t="s">
        <v>87</v>
      </c>
      <c r="X11" s="5" t="s">
        <v>87</v>
      </c>
      <c r="Y11" s="5" t="s">
        <v>82</v>
      </c>
      <c r="Z11" s="5" t="s">
        <v>87</v>
      </c>
      <c r="AA11" s="5" t="s">
        <v>87</v>
      </c>
      <c r="AB11" s="5" t="s">
        <v>87</v>
      </c>
      <c r="AC11" s="6" t="s">
        <v>132</v>
      </c>
      <c r="AD11" s="5" t="s">
        <v>87</v>
      </c>
      <c r="AE11" s="5" t="s">
        <v>87</v>
      </c>
      <c r="AF11" s="5" t="s">
        <v>82</v>
      </c>
      <c r="AG11" s="5" t="s">
        <v>133</v>
      </c>
      <c r="AH11" s="5" t="s">
        <v>82</v>
      </c>
      <c r="AI11" s="5" t="s">
        <v>82</v>
      </c>
      <c r="AJ11" s="5" t="s">
        <v>82</v>
      </c>
      <c r="AK11" s="5" t="s">
        <v>82</v>
      </c>
      <c r="AL11" s="5" t="s">
        <v>86</v>
      </c>
      <c r="AM11" s="6" t="s">
        <v>134</v>
      </c>
      <c r="AN11" s="5">
        <f>IF(tblData[[#This Row],[External statement]]="N","",IF(tblData[[#This Row],[Independence statement]]="Y",1,0))</f>
        <v>1</v>
      </c>
      <c r="AO11" s="5">
        <f>IF(tblData[[#This Row],[External statement]]="N","",IF(tblData[[#This Row],[QM or ethics reference]]="Y",1,0))</f>
        <v>0</v>
      </c>
      <c r="AP11" s="5">
        <f>IF(tblData[[#This Row],[External statement]]="N","",IF(OR(tblData[[#This Row],[Assurance level]]="Limited",tblData[[#This Row],[Assurance level]]="Reasonable"),1,0))</f>
        <v>0</v>
      </c>
      <c r="AQ11" s="5">
        <f>IF(tblData[[#This Row],[External statement]]="N","",IF(ISNUMBER(SEARCH("ISAE",tblData[[#This Row],[Standard]])),1,0))</f>
        <v>0</v>
      </c>
      <c r="AR11" s="5">
        <f>IF(tblData[[#This Row],[External statement]]="N","",IF(OR(tblData[[#This Row],[Conclusion]]="Unmodified",tblData[[#This Row],[Conclusion]]="Modified"),1,0))</f>
        <v>1</v>
      </c>
      <c r="AS11" s="5">
        <f>IF(tblData[[#This Row],[External statement]]="N","",tblData[[#This Row],[C1 Independence]]+tblData[[#This Row],[C2 Quality management]]+tblData[[#This Row],[C3 Level]]+tblData[[#This Row],[C4 Standard]]+tblData[[#This Row],[C5 Conclusion]])</f>
        <v>2</v>
      </c>
      <c r="AT11" s="5">
        <f>IF(tblData[[#This Row],[External statement]]="N","",IF(AND(tblData[[#This Row],[Scope 1 assured]]="Y",OR(tblData[[#This Row],[Scope 2 assured]]="Y",tblData[[#This Row],[Scope 2 assured]]="N/A")),1,0))</f>
        <v>1</v>
      </c>
      <c r="AU11" s="5">
        <f>IF(tblData[[#This Row],[External statement]]="N","",IF(tblData[[#This Row],[Figures listed]]="Y",1,0))</f>
        <v>0</v>
      </c>
      <c r="AV11" s="5">
        <f>IF(tblData[[#This Row],[External statement]]="N","",tblData[[#This Row],[P1 Scope 1 and 2]]+tblData[[#This Row],[P2 Figures]])</f>
        <v>1</v>
      </c>
      <c r="AW11" s="5">
        <f>IF(tblData[[#This Row],[External statement]]="N","",tblData[[#This Row],[Core score]]+tblData[[#This Row],[PSPK score]])</f>
        <v>3</v>
      </c>
      <c r="AX11" s="5" t="str">
        <f>IF(tblData[[#This Row],[External statement]]="N","",IF(tblData[[#This Row],[Core score]]=5,"Y","N"))</f>
        <v>N</v>
      </c>
    </row>
    <row r="12" spans="1:50" ht="39.6" x14ac:dyDescent="0.3">
      <c r="A12" s="5" t="s">
        <v>135</v>
      </c>
      <c r="B12" s="6" t="s">
        <v>136</v>
      </c>
      <c r="C12" s="5" t="s">
        <v>137</v>
      </c>
      <c r="D12" s="5" t="s">
        <v>138</v>
      </c>
      <c r="E12" s="5" t="s">
        <v>82</v>
      </c>
      <c r="F12" s="5" t="s">
        <v>83</v>
      </c>
      <c r="G12" s="8" t="s">
        <v>139</v>
      </c>
      <c r="H12" s="9">
        <v>46316</v>
      </c>
      <c r="I12" s="5" t="s">
        <v>125</v>
      </c>
      <c r="J12" s="5" t="str">
        <f>IF(OR(tblData[[#This Row],[Assurance category]]="Independent assurance",tblData[[#This Row],[Assurance category]]="Verification only"),"Y","N")</f>
        <v>Y</v>
      </c>
      <c r="K12" s="5" t="s">
        <v>87</v>
      </c>
      <c r="L12" s="6" t="s">
        <v>140</v>
      </c>
      <c r="M12" s="6" t="s">
        <v>141</v>
      </c>
      <c r="N12" s="5" t="s">
        <v>142</v>
      </c>
      <c r="O12" s="5" t="s">
        <v>143</v>
      </c>
      <c r="P12" s="5" t="s">
        <v>86</v>
      </c>
      <c r="Q12" s="5" t="s">
        <v>144</v>
      </c>
      <c r="R12" s="5" t="s">
        <v>145</v>
      </c>
      <c r="S12" s="5" t="s">
        <v>87</v>
      </c>
      <c r="T12" s="5" t="s">
        <v>87</v>
      </c>
      <c r="U12" s="5" t="s">
        <v>87</v>
      </c>
      <c r="V12" s="5" t="s">
        <v>87</v>
      </c>
      <c r="W12" s="5" t="s">
        <v>82</v>
      </c>
      <c r="X12" s="5" t="s">
        <v>82</v>
      </c>
      <c r="Y12" s="5" t="s">
        <v>87</v>
      </c>
      <c r="Z12" s="5" t="s">
        <v>82</v>
      </c>
      <c r="AA12" s="5" t="s">
        <v>87</v>
      </c>
      <c r="AB12" s="5" t="s">
        <v>87</v>
      </c>
      <c r="AC12" s="6" t="s">
        <v>146</v>
      </c>
      <c r="AD12" s="5" t="s">
        <v>87</v>
      </c>
      <c r="AE12" s="5" t="s">
        <v>82</v>
      </c>
      <c r="AF12" s="5" t="s">
        <v>87</v>
      </c>
      <c r="AG12" s="5" t="s">
        <v>133</v>
      </c>
      <c r="AH12" s="5" t="s">
        <v>82</v>
      </c>
      <c r="AI12" s="5" t="s">
        <v>82</v>
      </c>
      <c r="AJ12" s="5" t="s">
        <v>82</v>
      </c>
      <c r="AK12" s="5" t="s">
        <v>82</v>
      </c>
      <c r="AL12" s="5" t="s">
        <v>86</v>
      </c>
      <c r="AM12" s="6" t="s">
        <v>147</v>
      </c>
      <c r="AN12" s="5">
        <f>IF(tblData[[#This Row],[External statement]]="N","",IF(tblData[[#This Row],[Independence statement]]="Y",1,0))</f>
        <v>1</v>
      </c>
      <c r="AO12" s="5">
        <f>IF(tblData[[#This Row],[External statement]]="N","",IF(tblData[[#This Row],[QM or ethics reference]]="Y",1,0))</f>
        <v>1</v>
      </c>
      <c r="AP12" s="5">
        <f>IF(tblData[[#This Row],[External statement]]="N","",IF(OR(tblData[[#This Row],[Assurance level]]="Limited",tblData[[#This Row],[Assurance level]]="Reasonable"),1,0))</f>
        <v>1</v>
      </c>
      <c r="AQ12" s="5">
        <f>IF(tblData[[#This Row],[External statement]]="N","",IF(ISNUMBER(SEARCH("ISAE",tblData[[#This Row],[Standard]])),1,0))</f>
        <v>1</v>
      </c>
      <c r="AR12" s="5">
        <f>IF(tblData[[#This Row],[External statement]]="N","",IF(OR(tblData[[#This Row],[Conclusion]]="Unmodified",tblData[[#This Row],[Conclusion]]="Modified"),1,0))</f>
        <v>1</v>
      </c>
      <c r="AS12" s="5">
        <f>IF(tblData[[#This Row],[External statement]]="N","",tblData[[#This Row],[C1 Independence]]+tblData[[#This Row],[C2 Quality management]]+tblData[[#This Row],[C3 Level]]+tblData[[#This Row],[C4 Standard]]+tblData[[#This Row],[C5 Conclusion]])</f>
        <v>5</v>
      </c>
      <c r="AT12" s="5">
        <f>IF(tblData[[#This Row],[External statement]]="N","",IF(AND(tblData[[#This Row],[Scope 1 assured]]="Y",OR(tblData[[#This Row],[Scope 2 assured]]="Y",tblData[[#This Row],[Scope 2 assured]]="N/A")),1,0))</f>
        <v>1</v>
      </c>
      <c r="AU12" s="5">
        <f>IF(tblData[[#This Row],[External statement]]="N","",IF(tblData[[#This Row],[Figures listed]]="Y",1,0))</f>
        <v>0</v>
      </c>
      <c r="AV12" s="5">
        <f>IF(tblData[[#This Row],[External statement]]="N","",tblData[[#This Row],[P1 Scope 1 and 2]]+tblData[[#This Row],[P2 Figures]])</f>
        <v>1</v>
      </c>
      <c r="AW12" s="5">
        <f>IF(tblData[[#This Row],[External statement]]="N","",tblData[[#This Row],[Core score]]+tblData[[#This Row],[PSPK score]])</f>
        <v>6</v>
      </c>
      <c r="AX12" s="5" t="str">
        <f>IF(tblData[[#This Row],[External statement]]="N","",IF(tblData[[#This Row],[Core score]]=5,"Y","N"))</f>
        <v>Y</v>
      </c>
    </row>
    <row r="13" spans="1:50" ht="26.4" x14ac:dyDescent="0.3">
      <c r="A13" s="5" t="s">
        <v>148</v>
      </c>
      <c r="B13" s="6" t="s">
        <v>149</v>
      </c>
      <c r="C13" s="5" t="s">
        <v>150</v>
      </c>
      <c r="D13" s="5"/>
      <c r="E13" s="5" t="s">
        <v>82</v>
      </c>
      <c r="F13" s="5" t="s">
        <v>83</v>
      </c>
      <c r="G13" s="8" t="s">
        <v>151</v>
      </c>
      <c r="H13" s="9">
        <v>46316</v>
      </c>
      <c r="I13" s="5" t="s">
        <v>125</v>
      </c>
      <c r="J13" s="5" t="str">
        <f>IF(OR(tblData[[#This Row],[Assurance category]]="Independent assurance",tblData[[#This Row],[Assurance category]]="Verification only"),"Y","N")</f>
        <v>Y</v>
      </c>
      <c r="K13" s="5" t="s">
        <v>87</v>
      </c>
      <c r="L13" s="6" t="s">
        <v>152</v>
      </c>
      <c r="M13" s="6" t="s">
        <v>153</v>
      </c>
      <c r="N13" s="5" t="s">
        <v>154</v>
      </c>
      <c r="O13" s="5" t="s">
        <v>128</v>
      </c>
      <c r="P13" s="5" t="s">
        <v>129</v>
      </c>
      <c r="Q13" s="5" t="s">
        <v>130</v>
      </c>
      <c r="R13" s="5" t="s">
        <v>145</v>
      </c>
      <c r="S13" s="5" t="s">
        <v>87</v>
      </c>
      <c r="T13" s="5" t="s">
        <v>82</v>
      </c>
      <c r="U13" s="5" t="s">
        <v>87</v>
      </c>
      <c r="V13" s="5" t="s">
        <v>82</v>
      </c>
      <c r="W13" s="5" t="s">
        <v>87</v>
      </c>
      <c r="X13" s="5" t="s">
        <v>82</v>
      </c>
      <c r="Y13" s="5" t="s">
        <v>82</v>
      </c>
      <c r="Z13" s="5" t="s">
        <v>82</v>
      </c>
      <c r="AA13" s="5" t="s">
        <v>82</v>
      </c>
      <c r="AB13" s="5" t="s">
        <v>82</v>
      </c>
      <c r="AC13" s="6" t="s">
        <v>155</v>
      </c>
      <c r="AD13" s="5" t="s">
        <v>87</v>
      </c>
      <c r="AE13" s="5" t="s">
        <v>87</v>
      </c>
      <c r="AF13" s="5" t="s">
        <v>113</v>
      </c>
      <c r="AG13" s="5" t="s">
        <v>133</v>
      </c>
      <c r="AH13" s="5" t="s">
        <v>82</v>
      </c>
      <c r="AI13" s="5" t="s">
        <v>82</v>
      </c>
      <c r="AJ13" s="5" t="s">
        <v>82</v>
      </c>
      <c r="AK13" s="5" t="s">
        <v>82</v>
      </c>
      <c r="AL13" s="5" t="s">
        <v>86</v>
      </c>
      <c r="AM13" s="6" t="s">
        <v>156</v>
      </c>
      <c r="AN13" s="5">
        <f>IF(tblData[[#This Row],[External statement]]="N","",IF(tblData[[#This Row],[Independence statement]]="Y",1,0))</f>
        <v>1</v>
      </c>
      <c r="AO13" s="5">
        <f>IF(tblData[[#This Row],[External statement]]="N","",IF(tblData[[#This Row],[QM or ethics reference]]="Y",1,0))</f>
        <v>0</v>
      </c>
      <c r="AP13" s="5">
        <f>IF(tblData[[#This Row],[External statement]]="N","",IF(OR(tblData[[#This Row],[Assurance level]]="Limited",tblData[[#This Row],[Assurance level]]="Reasonable"),1,0))</f>
        <v>0</v>
      </c>
      <c r="AQ13" s="5">
        <f>IF(tblData[[#This Row],[External statement]]="N","",IF(ISNUMBER(SEARCH("ISAE",tblData[[#This Row],[Standard]])),1,0))</f>
        <v>0</v>
      </c>
      <c r="AR13" s="5">
        <f>IF(tblData[[#This Row],[External statement]]="N","",IF(OR(tblData[[#This Row],[Conclusion]]="Unmodified",tblData[[#This Row],[Conclusion]]="Modified"),1,0))</f>
        <v>1</v>
      </c>
      <c r="AS13" s="5">
        <f>IF(tblData[[#This Row],[External statement]]="N","",tblData[[#This Row],[C1 Independence]]+tblData[[#This Row],[C2 Quality management]]+tblData[[#This Row],[C3 Level]]+tblData[[#This Row],[C4 Standard]]+tblData[[#This Row],[C5 Conclusion]])</f>
        <v>2</v>
      </c>
      <c r="AT13" s="5">
        <f>IF(tblData[[#This Row],[External statement]]="N","",IF(AND(tblData[[#This Row],[Scope 1 assured]]="Y",OR(tblData[[#This Row],[Scope 2 assured]]="Y",tblData[[#This Row],[Scope 2 assured]]="N/A")),1,0))</f>
        <v>0</v>
      </c>
      <c r="AU13" s="5">
        <f>IF(tblData[[#This Row],[External statement]]="N","",IF(tblData[[#This Row],[Figures listed]]="Y",1,0))</f>
        <v>0</v>
      </c>
      <c r="AV13" s="5">
        <f>IF(tblData[[#This Row],[External statement]]="N","",tblData[[#This Row],[P1 Scope 1 and 2]]+tblData[[#This Row],[P2 Figures]])</f>
        <v>0</v>
      </c>
      <c r="AW13" s="5">
        <f>IF(tblData[[#This Row],[External statement]]="N","",tblData[[#This Row],[Core score]]+tblData[[#This Row],[PSPK score]])</f>
        <v>2</v>
      </c>
      <c r="AX13" s="5" t="str">
        <f>IF(tblData[[#This Row],[External statement]]="N","",IF(tblData[[#This Row],[Core score]]=5,"Y","N"))</f>
        <v>N</v>
      </c>
    </row>
    <row r="14" spans="1:50" ht="26.4" x14ac:dyDescent="0.3">
      <c r="A14" s="5" t="s">
        <v>157</v>
      </c>
      <c r="B14" s="6" t="s">
        <v>158</v>
      </c>
      <c r="C14" s="5" t="s">
        <v>150</v>
      </c>
      <c r="D14" s="5"/>
      <c r="E14" s="5" t="s">
        <v>87</v>
      </c>
      <c r="F14" s="5" t="s">
        <v>83</v>
      </c>
      <c r="G14" s="8" t="s">
        <v>159</v>
      </c>
      <c r="H14" s="9">
        <v>46316</v>
      </c>
      <c r="I14" s="5" t="s">
        <v>125</v>
      </c>
      <c r="J14" s="5" t="str">
        <f>IF(OR(tblData[[#This Row],[Assurance category]]="Independent assurance",tblData[[#This Row],[Assurance category]]="Verification only"),"Y","N")</f>
        <v>Y</v>
      </c>
      <c r="K14" s="5" t="s">
        <v>87</v>
      </c>
      <c r="L14" s="6" t="s">
        <v>160</v>
      </c>
      <c r="M14" s="6" t="s">
        <v>153</v>
      </c>
      <c r="N14" s="5" t="s">
        <v>154</v>
      </c>
      <c r="O14" s="5" t="s">
        <v>128</v>
      </c>
      <c r="P14" s="5" t="s">
        <v>129</v>
      </c>
      <c r="Q14" s="5" t="s">
        <v>130</v>
      </c>
      <c r="R14" s="5" t="s">
        <v>145</v>
      </c>
      <c r="S14" s="5" t="s">
        <v>87</v>
      </c>
      <c r="T14" s="5" t="s">
        <v>82</v>
      </c>
      <c r="U14" s="5" t="s">
        <v>87</v>
      </c>
      <c r="V14" s="5" t="s">
        <v>82</v>
      </c>
      <c r="W14" s="5" t="s">
        <v>87</v>
      </c>
      <c r="X14" s="5" t="s">
        <v>82</v>
      </c>
      <c r="Y14" s="5" t="s">
        <v>82</v>
      </c>
      <c r="Z14" s="5" t="s">
        <v>82</v>
      </c>
      <c r="AA14" s="5" t="s">
        <v>82</v>
      </c>
      <c r="AB14" s="5" t="s">
        <v>82</v>
      </c>
      <c r="AC14" s="6" t="s">
        <v>161</v>
      </c>
      <c r="AD14" s="5" t="s">
        <v>87</v>
      </c>
      <c r="AE14" s="5" t="s">
        <v>87</v>
      </c>
      <c r="AF14" s="5" t="s">
        <v>113</v>
      </c>
      <c r="AG14" s="5" t="s">
        <v>133</v>
      </c>
      <c r="AH14" s="5" t="s">
        <v>82</v>
      </c>
      <c r="AI14" s="5" t="s">
        <v>82</v>
      </c>
      <c r="AJ14" s="5" t="s">
        <v>82</v>
      </c>
      <c r="AK14" s="5" t="s">
        <v>82</v>
      </c>
      <c r="AL14" s="5" t="s">
        <v>86</v>
      </c>
      <c r="AM14" s="6" t="s">
        <v>162</v>
      </c>
      <c r="AN14" s="5">
        <f>IF(tblData[[#This Row],[External statement]]="N","",IF(tblData[[#This Row],[Independence statement]]="Y",1,0))</f>
        <v>1</v>
      </c>
      <c r="AO14" s="5">
        <f>IF(tblData[[#This Row],[External statement]]="N","",IF(tblData[[#This Row],[QM or ethics reference]]="Y",1,0))</f>
        <v>0</v>
      </c>
      <c r="AP14" s="5">
        <f>IF(tblData[[#This Row],[External statement]]="N","",IF(OR(tblData[[#This Row],[Assurance level]]="Limited",tblData[[#This Row],[Assurance level]]="Reasonable"),1,0))</f>
        <v>0</v>
      </c>
      <c r="AQ14" s="5">
        <f>IF(tblData[[#This Row],[External statement]]="N","",IF(ISNUMBER(SEARCH("ISAE",tblData[[#This Row],[Standard]])),1,0))</f>
        <v>0</v>
      </c>
      <c r="AR14" s="5">
        <f>IF(tblData[[#This Row],[External statement]]="N","",IF(OR(tblData[[#This Row],[Conclusion]]="Unmodified",tblData[[#This Row],[Conclusion]]="Modified"),1,0))</f>
        <v>1</v>
      </c>
      <c r="AS14" s="5">
        <f>IF(tblData[[#This Row],[External statement]]="N","",tblData[[#This Row],[C1 Independence]]+tblData[[#This Row],[C2 Quality management]]+tblData[[#This Row],[C3 Level]]+tblData[[#This Row],[C4 Standard]]+tblData[[#This Row],[C5 Conclusion]])</f>
        <v>2</v>
      </c>
      <c r="AT14" s="5">
        <f>IF(tblData[[#This Row],[External statement]]="N","",IF(AND(tblData[[#This Row],[Scope 1 assured]]="Y",OR(tblData[[#This Row],[Scope 2 assured]]="Y",tblData[[#This Row],[Scope 2 assured]]="N/A")),1,0))</f>
        <v>0</v>
      </c>
      <c r="AU14" s="5">
        <f>IF(tblData[[#This Row],[External statement]]="N","",IF(tblData[[#This Row],[Figures listed]]="Y",1,0))</f>
        <v>0</v>
      </c>
      <c r="AV14" s="5">
        <f>IF(tblData[[#This Row],[External statement]]="N","",tblData[[#This Row],[P1 Scope 1 and 2]]+tblData[[#This Row],[P2 Figures]])</f>
        <v>0</v>
      </c>
      <c r="AW14" s="5">
        <f>IF(tblData[[#This Row],[External statement]]="N","",tblData[[#This Row],[Core score]]+tblData[[#This Row],[PSPK score]])</f>
        <v>2</v>
      </c>
      <c r="AX14" s="5" t="str">
        <f>IF(tblData[[#This Row],[External statement]]="N","",IF(tblData[[#This Row],[Core score]]=5,"Y","N"))</f>
        <v>N</v>
      </c>
    </row>
    <row r="15" spans="1:50" ht="39.6" x14ac:dyDescent="0.3">
      <c r="A15" s="5" t="s">
        <v>163</v>
      </c>
      <c r="B15" s="6" t="s">
        <v>164</v>
      </c>
      <c r="C15" s="5" t="s">
        <v>150</v>
      </c>
      <c r="D15" s="5"/>
      <c r="E15" s="5" t="s">
        <v>87</v>
      </c>
      <c r="F15" s="5" t="s">
        <v>83</v>
      </c>
      <c r="G15" s="8" t="s">
        <v>165</v>
      </c>
      <c r="H15" s="9">
        <v>46316</v>
      </c>
      <c r="I15" s="5" t="s">
        <v>125</v>
      </c>
      <c r="J15" s="5" t="str">
        <f>IF(OR(tblData[[#This Row],[Assurance category]]="Independent assurance",tblData[[#This Row],[Assurance category]]="Verification only"),"Y","N")</f>
        <v>Y</v>
      </c>
      <c r="K15" s="5" t="s">
        <v>87</v>
      </c>
      <c r="L15" s="6" t="s">
        <v>166</v>
      </c>
      <c r="M15" s="6" t="s">
        <v>167</v>
      </c>
      <c r="N15" s="5" t="s">
        <v>154</v>
      </c>
      <c r="O15" s="5" t="s">
        <v>128</v>
      </c>
      <c r="P15" s="5" t="s">
        <v>129</v>
      </c>
      <c r="Q15" s="5" t="s">
        <v>130</v>
      </c>
      <c r="R15" s="5" t="s">
        <v>145</v>
      </c>
      <c r="S15" s="5" t="s">
        <v>87</v>
      </c>
      <c r="T15" s="5" t="s">
        <v>87</v>
      </c>
      <c r="U15" s="5" t="s">
        <v>87</v>
      </c>
      <c r="V15" s="5" t="s">
        <v>87</v>
      </c>
      <c r="W15" s="5" t="s">
        <v>87</v>
      </c>
      <c r="X15" s="5" t="s">
        <v>87</v>
      </c>
      <c r="Y15" s="5" t="s">
        <v>87</v>
      </c>
      <c r="Z15" s="5" t="s">
        <v>82</v>
      </c>
      <c r="AA15" s="5" t="s">
        <v>82</v>
      </c>
      <c r="AB15" s="5" t="s">
        <v>87</v>
      </c>
      <c r="AC15" s="6" t="s">
        <v>168</v>
      </c>
      <c r="AD15" s="5" t="s">
        <v>87</v>
      </c>
      <c r="AE15" s="5" t="s">
        <v>87</v>
      </c>
      <c r="AF15" s="5" t="s">
        <v>82</v>
      </c>
      <c r="AG15" s="5" t="s">
        <v>133</v>
      </c>
      <c r="AH15" s="5" t="s">
        <v>87</v>
      </c>
      <c r="AI15" s="5" t="s">
        <v>87</v>
      </c>
      <c r="AJ15" s="5" t="s">
        <v>87</v>
      </c>
      <c r="AK15" s="5" t="s">
        <v>82</v>
      </c>
      <c r="AL15" s="5" t="s">
        <v>87</v>
      </c>
      <c r="AM15" s="6" t="s">
        <v>169</v>
      </c>
      <c r="AN15" s="5">
        <f>IF(tblData[[#This Row],[External statement]]="N","",IF(tblData[[#This Row],[Independence statement]]="Y",1,0))</f>
        <v>1</v>
      </c>
      <c r="AO15" s="5">
        <f>IF(tblData[[#This Row],[External statement]]="N","",IF(tblData[[#This Row],[QM or ethics reference]]="Y",1,0))</f>
        <v>0</v>
      </c>
      <c r="AP15" s="5">
        <f>IF(tblData[[#This Row],[External statement]]="N","",IF(OR(tblData[[#This Row],[Assurance level]]="Limited",tblData[[#This Row],[Assurance level]]="Reasonable"),1,0))</f>
        <v>0</v>
      </c>
      <c r="AQ15" s="5">
        <f>IF(tblData[[#This Row],[External statement]]="N","",IF(ISNUMBER(SEARCH("ISAE",tblData[[#This Row],[Standard]])),1,0))</f>
        <v>0</v>
      </c>
      <c r="AR15" s="5">
        <f>IF(tblData[[#This Row],[External statement]]="N","",IF(OR(tblData[[#This Row],[Conclusion]]="Unmodified",tblData[[#This Row],[Conclusion]]="Modified"),1,0))</f>
        <v>1</v>
      </c>
      <c r="AS15" s="5">
        <f>IF(tblData[[#This Row],[External statement]]="N","",tblData[[#This Row],[C1 Independence]]+tblData[[#This Row],[C2 Quality management]]+tblData[[#This Row],[C3 Level]]+tblData[[#This Row],[C4 Standard]]+tblData[[#This Row],[C5 Conclusion]])</f>
        <v>2</v>
      </c>
      <c r="AT15" s="5">
        <f>IF(tblData[[#This Row],[External statement]]="N","",IF(AND(tblData[[#This Row],[Scope 1 assured]]="Y",OR(tblData[[#This Row],[Scope 2 assured]]="Y",tblData[[#This Row],[Scope 2 assured]]="N/A")),1,0))</f>
        <v>1</v>
      </c>
      <c r="AU15" s="5">
        <f>IF(tblData[[#This Row],[External statement]]="N","",IF(tblData[[#This Row],[Figures listed]]="Y",1,0))</f>
        <v>1</v>
      </c>
      <c r="AV15" s="5">
        <f>IF(tblData[[#This Row],[External statement]]="N","",tblData[[#This Row],[P1 Scope 1 and 2]]+tblData[[#This Row],[P2 Figures]])</f>
        <v>2</v>
      </c>
      <c r="AW15" s="5">
        <f>IF(tblData[[#This Row],[External statement]]="N","",tblData[[#This Row],[Core score]]+tblData[[#This Row],[PSPK score]])</f>
        <v>4</v>
      </c>
      <c r="AX15" s="5" t="str">
        <f>IF(tblData[[#This Row],[External statement]]="N","",IF(tblData[[#This Row],[Core score]]=5,"Y","N"))</f>
        <v>N</v>
      </c>
    </row>
    <row r="16" spans="1:50" ht="52.8" x14ac:dyDescent="0.3">
      <c r="A16" s="5" t="s">
        <v>170</v>
      </c>
      <c r="B16" s="6" t="s">
        <v>171</v>
      </c>
      <c r="C16" s="5" t="s">
        <v>150</v>
      </c>
      <c r="D16" s="5"/>
      <c r="E16" s="5" t="s">
        <v>87</v>
      </c>
      <c r="F16" s="5" t="s">
        <v>83</v>
      </c>
      <c r="G16" s="8" t="s">
        <v>172</v>
      </c>
      <c r="H16" s="9">
        <v>46316</v>
      </c>
      <c r="I16" s="5" t="s">
        <v>125</v>
      </c>
      <c r="J16" s="5" t="str">
        <f>IF(OR(tblData[[#This Row],[Assurance category]]="Independent assurance",tblData[[#This Row],[Assurance category]]="Verification only"),"Y","N")</f>
        <v>Y</v>
      </c>
      <c r="K16" s="5" t="s">
        <v>87</v>
      </c>
      <c r="L16" s="6" t="s">
        <v>173</v>
      </c>
      <c r="M16" s="6" t="s">
        <v>174</v>
      </c>
      <c r="N16" s="5" t="s">
        <v>154</v>
      </c>
      <c r="O16" s="5" t="s">
        <v>128</v>
      </c>
      <c r="P16" s="5" t="s">
        <v>129</v>
      </c>
      <c r="Q16" s="5" t="s">
        <v>130</v>
      </c>
      <c r="R16" s="5" t="s">
        <v>145</v>
      </c>
      <c r="S16" s="5" t="s">
        <v>87</v>
      </c>
      <c r="T16" s="5" t="s">
        <v>87</v>
      </c>
      <c r="U16" s="5" t="s">
        <v>87</v>
      </c>
      <c r="V16" s="5" t="s">
        <v>87</v>
      </c>
      <c r="W16" s="5" t="s">
        <v>87</v>
      </c>
      <c r="X16" s="5" t="s">
        <v>87</v>
      </c>
      <c r="Y16" s="5" t="s">
        <v>82</v>
      </c>
      <c r="Z16" s="5" t="s">
        <v>82</v>
      </c>
      <c r="AA16" s="5" t="s">
        <v>82</v>
      </c>
      <c r="AB16" s="5" t="s">
        <v>87</v>
      </c>
      <c r="AC16" s="6" t="s">
        <v>175</v>
      </c>
      <c r="AD16" s="5" t="s">
        <v>87</v>
      </c>
      <c r="AE16" s="5" t="s">
        <v>87</v>
      </c>
      <c r="AF16" s="5" t="s">
        <v>87</v>
      </c>
      <c r="AG16" s="5" t="s">
        <v>133</v>
      </c>
      <c r="AH16" s="5" t="s">
        <v>82</v>
      </c>
      <c r="AI16" s="5" t="s">
        <v>82</v>
      </c>
      <c r="AJ16" s="5" t="s">
        <v>82</v>
      </c>
      <c r="AK16" s="5" t="s">
        <v>82</v>
      </c>
      <c r="AL16" s="5" t="s">
        <v>86</v>
      </c>
      <c r="AM16" s="6" t="s">
        <v>176</v>
      </c>
      <c r="AN16" s="5">
        <f>IF(tblData[[#This Row],[External statement]]="N","",IF(tblData[[#This Row],[Independence statement]]="Y",1,0))</f>
        <v>1</v>
      </c>
      <c r="AO16" s="5">
        <f>IF(tblData[[#This Row],[External statement]]="N","",IF(tblData[[#This Row],[QM or ethics reference]]="Y",1,0))</f>
        <v>1</v>
      </c>
      <c r="AP16" s="5">
        <f>IF(tblData[[#This Row],[External statement]]="N","",IF(OR(tblData[[#This Row],[Assurance level]]="Limited",tblData[[#This Row],[Assurance level]]="Reasonable"),1,0))</f>
        <v>0</v>
      </c>
      <c r="AQ16" s="5">
        <f>IF(tblData[[#This Row],[External statement]]="N","",IF(ISNUMBER(SEARCH("ISAE",tblData[[#This Row],[Standard]])),1,0))</f>
        <v>0</v>
      </c>
      <c r="AR16" s="5">
        <f>IF(tblData[[#This Row],[External statement]]="N","",IF(OR(tblData[[#This Row],[Conclusion]]="Unmodified",tblData[[#This Row],[Conclusion]]="Modified"),1,0))</f>
        <v>1</v>
      </c>
      <c r="AS16" s="5">
        <f>IF(tblData[[#This Row],[External statement]]="N","",tblData[[#This Row],[C1 Independence]]+tblData[[#This Row],[C2 Quality management]]+tblData[[#This Row],[C3 Level]]+tblData[[#This Row],[C4 Standard]]+tblData[[#This Row],[C5 Conclusion]])</f>
        <v>3</v>
      </c>
      <c r="AT16" s="5">
        <f>IF(tblData[[#This Row],[External statement]]="N","",IF(AND(tblData[[#This Row],[Scope 1 assured]]="Y",OR(tblData[[#This Row],[Scope 2 assured]]="Y",tblData[[#This Row],[Scope 2 assured]]="N/A")),1,0))</f>
        <v>1</v>
      </c>
      <c r="AU16" s="5">
        <f>IF(tblData[[#This Row],[External statement]]="N","",IF(tblData[[#This Row],[Figures listed]]="Y",1,0))</f>
        <v>0</v>
      </c>
      <c r="AV16" s="5">
        <f>IF(tblData[[#This Row],[External statement]]="N","",tblData[[#This Row],[P1 Scope 1 and 2]]+tblData[[#This Row],[P2 Figures]])</f>
        <v>1</v>
      </c>
      <c r="AW16" s="5">
        <f>IF(tblData[[#This Row],[External statement]]="N","",tblData[[#This Row],[Core score]]+tblData[[#This Row],[PSPK score]])</f>
        <v>4</v>
      </c>
      <c r="AX16" s="5" t="str">
        <f>IF(tblData[[#This Row],[External statement]]="N","",IF(tblData[[#This Row],[Core score]]=5,"Y","N"))</f>
        <v>N</v>
      </c>
    </row>
    <row r="17" spans="1:50" ht="52.8" x14ac:dyDescent="0.3">
      <c r="A17" s="5" t="s">
        <v>177</v>
      </c>
      <c r="B17" s="6" t="s">
        <v>178</v>
      </c>
      <c r="C17" s="5" t="s">
        <v>150</v>
      </c>
      <c r="D17" s="5"/>
      <c r="E17" s="5" t="s">
        <v>87</v>
      </c>
      <c r="F17" s="5" t="s">
        <v>83</v>
      </c>
      <c r="G17" s="8" t="s">
        <v>179</v>
      </c>
      <c r="H17" s="9">
        <v>46316</v>
      </c>
      <c r="I17" s="5" t="s">
        <v>125</v>
      </c>
      <c r="J17" s="5" t="str">
        <f>IF(OR(tblData[[#This Row],[Assurance category]]="Independent assurance",tblData[[#This Row],[Assurance category]]="Verification only"),"Y","N")</f>
        <v>Y</v>
      </c>
      <c r="K17" s="5" t="s">
        <v>87</v>
      </c>
      <c r="L17" s="6" t="s">
        <v>180</v>
      </c>
      <c r="M17" s="6" t="s">
        <v>181</v>
      </c>
      <c r="N17" s="5" t="s">
        <v>127</v>
      </c>
      <c r="O17" s="5" t="s">
        <v>182</v>
      </c>
      <c r="P17" s="5" t="s">
        <v>129</v>
      </c>
      <c r="Q17" s="5" t="s">
        <v>130</v>
      </c>
      <c r="R17" s="5" t="s">
        <v>145</v>
      </c>
      <c r="S17" s="5" t="s">
        <v>87</v>
      </c>
      <c r="T17" s="5" t="s">
        <v>87</v>
      </c>
      <c r="U17" s="5" t="s">
        <v>87</v>
      </c>
      <c r="V17" s="5" t="s">
        <v>87</v>
      </c>
      <c r="W17" s="5" t="s">
        <v>87</v>
      </c>
      <c r="X17" s="5" t="s">
        <v>82</v>
      </c>
      <c r="Y17" s="5" t="s">
        <v>82</v>
      </c>
      <c r="Z17" s="5" t="s">
        <v>82</v>
      </c>
      <c r="AA17" s="5" t="s">
        <v>82</v>
      </c>
      <c r="AB17" s="5" t="s">
        <v>87</v>
      </c>
      <c r="AC17" s="6" t="s">
        <v>183</v>
      </c>
      <c r="AD17" s="5" t="s">
        <v>87</v>
      </c>
      <c r="AE17" s="5" t="s">
        <v>87</v>
      </c>
      <c r="AF17" s="5" t="s">
        <v>82</v>
      </c>
      <c r="AG17" s="5" t="s">
        <v>133</v>
      </c>
      <c r="AH17" s="5" t="s">
        <v>87</v>
      </c>
      <c r="AI17" s="5" t="s">
        <v>87</v>
      </c>
      <c r="AJ17" s="5" t="s">
        <v>87</v>
      </c>
      <c r="AK17" s="5" t="s">
        <v>82</v>
      </c>
      <c r="AL17" s="5" t="s">
        <v>87</v>
      </c>
      <c r="AM17" s="6" t="s">
        <v>184</v>
      </c>
      <c r="AN17" s="5">
        <f>IF(tblData[[#This Row],[External statement]]="N","",IF(tblData[[#This Row],[Independence statement]]="Y",1,0))</f>
        <v>1</v>
      </c>
      <c r="AO17" s="5">
        <f>IF(tblData[[#This Row],[External statement]]="N","",IF(tblData[[#This Row],[QM or ethics reference]]="Y",1,0))</f>
        <v>0</v>
      </c>
      <c r="AP17" s="5">
        <f>IF(tblData[[#This Row],[External statement]]="N","",IF(OR(tblData[[#This Row],[Assurance level]]="Limited",tblData[[#This Row],[Assurance level]]="Reasonable"),1,0))</f>
        <v>0</v>
      </c>
      <c r="AQ17" s="5">
        <f>IF(tblData[[#This Row],[External statement]]="N","",IF(ISNUMBER(SEARCH("ISAE",tblData[[#This Row],[Standard]])),1,0))</f>
        <v>1</v>
      </c>
      <c r="AR17" s="5">
        <f>IF(tblData[[#This Row],[External statement]]="N","",IF(OR(tblData[[#This Row],[Conclusion]]="Unmodified",tblData[[#This Row],[Conclusion]]="Modified"),1,0))</f>
        <v>1</v>
      </c>
      <c r="AS17" s="5">
        <f>IF(tblData[[#This Row],[External statement]]="N","",tblData[[#This Row],[C1 Independence]]+tblData[[#This Row],[C2 Quality management]]+tblData[[#This Row],[C3 Level]]+tblData[[#This Row],[C4 Standard]]+tblData[[#This Row],[C5 Conclusion]])</f>
        <v>3</v>
      </c>
      <c r="AT17" s="5">
        <f>IF(tblData[[#This Row],[External statement]]="N","",IF(AND(tblData[[#This Row],[Scope 1 assured]]="Y",OR(tblData[[#This Row],[Scope 2 assured]]="Y",tblData[[#This Row],[Scope 2 assured]]="N/A")),1,0))</f>
        <v>1</v>
      </c>
      <c r="AU17" s="5">
        <f>IF(tblData[[#This Row],[External statement]]="N","",IF(tblData[[#This Row],[Figures listed]]="Y",1,0))</f>
        <v>1</v>
      </c>
      <c r="AV17" s="5">
        <f>IF(tblData[[#This Row],[External statement]]="N","",tblData[[#This Row],[P1 Scope 1 and 2]]+tblData[[#This Row],[P2 Figures]])</f>
        <v>2</v>
      </c>
      <c r="AW17" s="5">
        <f>IF(tblData[[#This Row],[External statement]]="N","",tblData[[#This Row],[Core score]]+tblData[[#This Row],[PSPK score]])</f>
        <v>5</v>
      </c>
      <c r="AX17" s="5" t="str">
        <f>IF(tblData[[#This Row],[External statement]]="N","",IF(tblData[[#This Row],[Core score]]=5,"Y","N"))</f>
        <v>N</v>
      </c>
    </row>
    <row r="18" spans="1:50" ht="66" x14ac:dyDescent="0.3">
      <c r="A18" s="5" t="s">
        <v>185</v>
      </c>
      <c r="B18" s="6" t="s">
        <v>186</v>
      </c>
      <c r="C18" s="5" t="s">
        <v>105</v>
      </c>
      <c r="D18" s="5" t="s">
        <v>187</v>
      </c>
      <c r="E18" s="5" t="s">
        <v>82</v>
      </c>
      <c r="F18" s="5" t="s">
        <v>83</v>
      </c>
      <c r="G18" s="8" t="s">
        <v>188</v>
      </c>
      <c r="H18" s="9">
        <v>46316</v>
      </c>
      <c r="I18" s="5" t="s">
        <v>85</v>
      </c>
      <c r="J18" s="5" t="str">
        <f>IF(OR(tblData[[#This Row],[Assurance category]]="Independent assurance",tblData[[#This Row],[Assurance category]]="Verification only"),"Y","N")</f>
        <v>N</v>
      </c>
      <c r="K18" s="5" t="s">
        <v>87</v>
      </c>
      <c r="L18" s="6" t="s">
        <v>189</v>
      </c>
      <c r="M18" s="6" t="s">
        <v>86</v>
      </c>
      <c r="N18" s="5" t="s">
        <v>86</v>
      </c>
      <c r="O18" s="5" t="s">
        <v>86</v>
      </c>
      <c r="P18" s="5" t="s">
        <v>86</v>
      </c>
      <c r="Q18" s="5" t="s">
        <v>86</v>
      </c>
      <c r="R18" s="5" t="s">
        <v>86</v>
      </c>
      <c r="S18" s="5" t="s">
        <v>87</v>
      </c>
      <c r="T18" s="5" t="s">
        <v>86</v>
      </c>
      <c r="U18" s="5" t="s">
        <v>87</v>
      </c>
      <c r="V18" s="5" t="s">
        <v>86</v>
      </c>
      <c r="W18" s="5" t="s">
        <v>87</v>
      </c>
      <c r="X18" s="5" t="s">
        <v>86</v>
      </c>
      <c r="Y18" s="5" t="s">
        <v>86</v>
      </c>
      <c r="Z18" s="5" t="s">
        <v>86</v>
      </c>
      <c r="AA18" s="5" t="s">
        <v>86</v>
      </c>
      <c r="AB18" s="5" t="s">
        <v>86</v>
      </c>
      <c r="AC18" s="6" t="s">
        <v>86</v>
      </c>
      <c r="AD18" s="5" t="s">
        <v>86</v>
      </c>
      <c r="AE18" s="5" t="s">
        <v>86</v>
      </c>
      <c r="AF18" s="5" t="s">
        <v>86</v>
      </c>
      <c r="AG18" s="5" t="s">
        <v>86</v>
      </c>
      <c r="AH18" s="5" t="s">
        <v>86</v>
      </c>
      <c r="AI18" s="5" t="s">
        <v>86</v>
      </c>
      <c r="AJ18" s="5" t="s">
        <v>86</v>
      </c>
      <c r="AK18" s="5" t="s">
        <v>86</v>
      </c>
      <c r="AL18" s="5" t="s">
        <v>86</v>
      </c>
      <c r="AM18" s="6" t="s">
        <v>190</v>
      </c>
      <c r="AN18" s="5" t="str">
        <f>IF(tblData[[#This Row],[External statement]]="N","",IF(tblData[[#This Row],[Independence statement]]="Y",1,0))</f>
        <v/>
      </c>
      <c r="AO18" s="5" t="str">
        <f>IF(tblData[[#This Row],[External statement]]="N","",IF(tblData[[#This Row],[QM or ethics reference]]="Y",1,0))</f>
        <v/>
      </c>
      <c r="AP18" s="5" t="str">
        <f>IF(tblData[[#This Row],[External statement]]="N","",IF(OR(tblData[[#This Row],[Assurance level]]="Limited",tblData[[#This Row],[Assurance level]]="Reasonable"),1,0))</f>
        <v/>
      </c>
      <c r="AQ18" s="5" t="str">
        <f>IF(tblData[[#This Row],[External statement]]="N","",IF(ISNUMBER(SEARCH("ISAE",tblData[[#This Row],[Standard]])),1,0))</f>
        <v/>
      </c>
      <c r="AR18" s="5" t="str">
        <f>IF(tblData[[#This Row],[External statement]]="N","",IF(OR(tblData[[#This Row],[Conclusion]]="Unmodified",tblData[[#This Row],[Conclusion]]="Modified"),1,0))</f>
        <v/>
      </c>
      <c r="AS18" s="5" t="str">
        <f>IF(tblData[[#This Row],[External statement]]="N","",tblData[[#This Row],[C1 Independence]]+tblData[[#This Row],[C2 Quality management]]+tblData[[#This Row],[C3 Level]]+tblData[[#This Row],[C4 Standard]]+tblData[[#This Row],[C5 Conclusion]])</f>
        <v/>
      </c>
      <c r="AT18" s="5" t="str">
        <f>IF(tblData[[#This Row],[External statement]]="N","",IF(AND(tblData[[#This Row],[Scope 1 assured]]="Y",OR(tblData[[#This Row],[Scope 2 assured]]="Y",tblData[[#This Row],[Scope 2 assured]]="N/A")),1,0))</f>
        <v/>
      </c>
      <c r="AU18" s="5" t="str">
        <f>IF(tblData[[#This Row],[External statement]]="N","",IF(tblData[[#This Row],[Figures listed]]="Y",1,0))</f>
        <v/>
      </c>
      <c r="AV18" s="5" t="str">
        <f>IF(tblData[[#This Row],[External statement]]="N","",tblData[[#This Row],[P1 Scope 1 and 2]]+tblData[[#This Row],[P2 Figures]])</f>
        <v/>
      </c>
      <c r="AW18" s="5" t="str">
        <f>IF(tblData[[#This Row],[External statement]]="N","",tblData[[#This Row],[Core score]]+tblData[[#This Row],[PSPK score]])</f>
        <v/>
      </c>
      <c r="AX18" s="5" t="str">
        <f>IF(tblData[[#This Row],[External statement]]="N","",IF(tblData[[#This Row],[Core score]]=5,"Y","N"))</f>
        <v/>
      </c>
    </row>
    <row r="19" spans="1:50" ht="26.4" x14ac:dyDescent="0.3">
      <c r="A19" s="5" t="s">
        <v>191</v>
      </c>
      <c r="B19" s="6" t="s">
        <v>192</v>
      </c>
      <c r="C19" s="5" t="s">
        <v>80</v>
      </c>
      <c r="D19" s="5" t="s">
        <v>193</v>
      </c>
      <c r="E19" s="5" t="s">
        <v>82</v>
      </c>
      <c r="F19" s="5" t="s">
        <v>83</v>
      </c>
      <c r="G19" s="8" t="s">
        <v>194</v>
      </c>
      <c r="H19" s="9">
        <v>46316</v>
      </c>
      <c r="I19" s="5" t="s">
        <v>125</v>
      </c>
      <c r="J19" s="5" t="str">
        <f>IF(OR(tblData[[#This Row],[Assurance category]]="Independent assurance",tblData[[#This Row],[Assurance category]]="Verification only"),"Y","N")</f>
        <v>Y</v>
      </c>
      <c r="K19" s="5" t="s">
        <v>82</v>
      </c>
      <c r="L19" s="6" t="s">
        <v>86</v>
      </c>
      <c r="M19" s="6" t="s">
        <v>195</v>
      </c>
      <c r="N19" s="5" t="s">
        <v>196</v>
      </c>
      <c r="O19" s="5" t="s">
        <v>197</v>
      </c>
      <c r="P19" s="5" t="s">
        <v>86</v>
      </c>
      <c r="Q19" s="5" t="s">
        <v>144</v>
      </c>
      <c r="R19" s="5" t="s">
        <v>145</v>
      </c>
      <c r="S19" s="5" t="s">
        <v>87</v>
      </c>
      <c r="T19" s="5" t="s">
        <v>82</v>
      </c>
      <c r="U19" s="5" t="s">
        <v>87</v>
      </c>
      <c r="V19" s="5" t="s">
        <v>82</v>
      </c>
      <c r="W19" s="5" t="s">
        <v>82</v>
      </c>
      <c r="X19" s="5" t="s">
        <v>82</v>
      </c>
      <c r="Y19" s="5" t="s">
        <v>82</v>
      </c>
      <c r="Z19" s="5" t="s">
        <v>82</v>
      </c>
      <c r="AA19" s="5" t="s">
        <v>82</v>
      </c>
      <c r="AB19" s="5" t="s">
        <v>87</v>
      </c>
      <c r="AC19" s="6" t="s">
        <v>198</v>
      </c>
      <c r="AD19" s="5" t="s">
        <v>87</v>
      </c>
      <c r="AE19" s="5" t="s">
        <v>87</v>
      </c>
      <c r="AF19" s="5" t="s">
        <v>113</v>
      </c>
      <c r="AG19" s="5" t="s">
        <v>133</v>
      </c>
      <c r="AH19" s="5" t="s">
        <v>82</v>
      </c>
      <c r="AI19" s="5" t="s">
        <v>82</v>
      </c>
      <c r="AJ19" s="5" t="s">
        <v>82</v>
      </c>
      <c r="AK19" s="5" t="s">
        <v>82</v>
      </c>
      <c r="AL19" s="5" t="s">
        <v>86</v>
      </c>
      <c r="AM19" s="6" t="s">
        <v>199</v>
      </c>
      <c r="AN19" s="5">
        <f>IF(tblData[[#This Row],[External statement]]="N","",IF(tblData[[#This Row],[Independence statement]]="Y",1,0))</f>
        <v>1</v>
      </c>
      <c r="AO19" s="5">
        <f>IF(tblData[[#This Row],[External statement]]="N","",IF(tblData[[#This Row],[QM or ethics reference]]="Y",1,0))</f>
        <v>0</v>
      </c>
      <c r="AP19" s="5">
        <f>IF(tblData[[#This Row],[External statement]]="N","",IF(OR(tblData[[#This Row],[Assurance level]]="Limited",tblData[[#This Row],[Assurance level]]="Reasonable"),1,0))</f>
        <v>1</v>
      </c>
      <c r="AQ19" s="5">
        <f>IF(tblData[[#This Row],[External statement]]="N","",IF(ISNUMBER(SEARCH("ISAE",tblData[[#This Row],[Standard]])),1,0))</f>
        <v>1</v>
      </c>
      <c r="AR19" s="5">
        <f>IF(tblData[[#This Row],[External statement]]="N","",IF(OR(tblData[[#This Row],[Conclusion]]="Unmodified",tblData[[#This Row],[Conclusion]]="Modified"),1,0))</f>
        <v>1</v>
      </c>
      <c r="AS19" s="5">
        <f>IF(tblData[[#This Row],[External statement]]="N","",tblData[[#This Row],[C1 Independence]]+tblData[[#This Row],[C2 Quality management]]+tblData[[#This Row],[C3 Level]]+tblData[[#This Row],[C4 Standard]]+tblData[[#This Row],[C5 Conclusion]])</f>
        <v>4</v>
      </c>
      <c r="AT19" s="5">
        <f>IF(tblData[[#This Row],[External statement]]="N","",IF(AND(tblData[[#This Row],[Scope 1 assured]]="Y",OR(tblData[[#This Row],[Scope 2 assured]]="Y",tblData[[#This Row],[Scope 2 assured]]="N/A")),1,0))</f>
        <v>0</v>
      </c>
      <c r="AU19" s="5">
        <f>IF(tblData[[#This Row],[External statement]]="N","",IF(tblData[[#This Row],[Figures listed]]="Y",1,0))</f>
        <v>0</v>
      </c>
      <c r="AV19" s="5">
        <f>IF(tblData[[#This Row],[External statement]]="N","",tblData[[#This Row],[P1 Scope 1 and 2]]+tblData[[#This Row],[P2 Figures]])</f>
        <v>0</v>
      </c>
      <c r="AW19" s="5">
        <f>IF(tblData[[#This Row],[External statement]]="N","",tblData[[#This Row],[Core score]]+tblData[[#This Row],[PSPK score]])</f>
        <v>4</v>
      </c>
      <c r="AX19" s="5" t="str">
        <f>IF(tblData[[#This Row],[External statement]]="N","",IF(tblData[[#This Row],[Core score]]=5,"Y","N"))</f>
        <v>N</v>
      </c>
    </row>
    <row r="20" spans="1:50" x14ac:dyDescent="0.3">
      <c r="A20" s="5" t="s">
        <v>200</v>
      </c>
      <c r="B20" s="6" t="s">
        <v>201</v>
      </c>
      <c r="C20" s="5" t="s">
        <v>117</v>
      </c>
      <c r="D20" s="5"/>
      <c r="E20" s="5" t="s">
        <v>82</v>
      </c>
      <c r="F20" s="5" t="s">
        <v>83</v>
      </c>
      <c r="G20" s="8" t="s">
        <v>202</v>
      </c>
      <c r="H20" s="9">
        <v>46316</v>
      </c>
      <c r="I20" s="5" t="s">
        <v>85</v>
      </c>
      <c r="J20" s="5" t="str">
        <f>IF(OR(tblData[[#This Row],[Assurance category]]="Independent assurance",tblData[[#This Row],[Assurance category]]="Verification only"),"Y","N")</f>
        <v>N</v>
      </c>
      <c r="K20" s="5" t="s">
        <v>82</v>
      </c>
      <c r="L20" s="6" t="s">
        <v>86</v>
      </c>
      <c r="M20" s="6" t="s">
        <v>86</v>
      </c>
      <c r="N20" s="5" t="s">
        <v>86</v>
      </c>
      <c r="O20" s="5" t="s">
        <v>86</v>
      </c>
      <c r="P20" s="5" t="s">
        <v>86</v>
      </c>
      <c r="Q20" s="5" t="s">
        <v>86</v>
      </c>
      <c r="R20" s="5" t="s">
        <v>86</v>
      </c>
      <c r="S20" s="5" t="s">
        <v>87</v>
      </c>
      <c r="T20" s="5" t="s">
        <v>86</v>
      </c>
      <c r="U20" s="5" t="s">
        <v>87</v>
      </c>
      <c r="V20" s="5" t="s">
        <v>86</v>
      </c>
      <c r="W20" s="5" t="s">
        <v>82</v>
      </c>
      <c r="X20" s="5" t="s">
        <v>86</v>
      </c>
      <c r="Y20" s="5" t="s">
        <v>86</v>
      </c>
      <c r="Z20" s="5" t="s">
        <v>86</v>
      </c>
      <c r="AA20" s="5" t="s">
        <v>86</v>
      </c>
      <c r="AB20" s="5" t="s">
        <v>86</v>
      </c>
      <c r="AC20" s="6" t="s">
        <v>86</v>
      </c>
      <c r="AD20" s="5" t="s">
        <v>86</v>
      </c>
      <c r="AE20" s="5" t="s">
        <v>86</v>
      </c>
      <c r="AF20" s="5" t="s">
        <v>86</v>
      </c>
      <c r="AG20" s="5" t="s">
        <v>86</v>
      </c>
      <c r="AH20" s="5" t="s">
        <v>86</v>
      </c>
      <c r="AI20" s="5" t="s">
        <v>86</v>
      </c>
      <c r="AJ20" s="5" t="s">
        <v>86</v>
      </c>
      <c r="AK20" s="5" t="s">
        <v>86</v>
      </c>
      <c r="AL20" s="5" t="s">
        <v>86</v>
      </c>
      <c r="AM20" s="6" t="s">
        <v>203</v>
      </c>
      <c r="AN20" s="5" t="str">
        <f>IF(tblData[[#This Row],[External statement]]="N","",IF(tblData[[#This Row],[Independence statement]]="Y",1,0))</f>
        <v/>
      </c>
      <c r="AO20" s="5" t="str">
        <f>IF(tblData[[#This Row],[External statement]]="N","",IF(tblData[[#This Row],[QM or ethics reference]]="Y",1,0))</f>
        <v/>
      </c>
      <c r="AP20" s="5" t="str">
        <f>IF(tblData[[#This Row],[External statement]]="N","",IF(OR(tblData[[#This Row],[Assurance level]]="Limited",tblData[[#This Row],[Assurance level]]="Reasonable"),1,0))</f>
        <v/>
      </c>
      <c r="AQ20" s="5" t="str">
        <f>IF(tblData[[#This Row],[External statement]]="N","",IF(ISNUMBER(SEARCH("ISAE",tblData[[#This Row],[Standard]])),1,0))</f>
        <v/>
      </c>
      <c r="AR20" s="5" t="str">
        <f>IF(tblData[[#This Row],[External statement]]="N","",IF(OR(tblData[[#This Row],[Conclusion]]="Unmodified",tblData[[#This Row],[Conclusion]]="Modified"),1,0))</f>
        <v/>
      </c>
      <c r="AS20" s="5" t="str">
        <f>IF(tblData[[#This Row],[External statement]]="N","",tblData[[#This Row],[C1 Independence]]+tblData[[#This Row],[C2 Quality management]]+tblData[[#This Row],[C3 Level]]+tblData[[#This Row],[C4 Standard]]+tblData[[#This Row],[C5 Conclusion]])</f>
        <v/>
      </c>
      <c r="AT20" s="5" t="str">
        <f>IF(tblData[[#This Row],[External statement]]="N","",IF(AND(tblData[[#This Row],[Scope 1 assured]]="Y",OR(tblData[[#This Row],[Scope 2 assured]]="Y",tblData[[#This Row],[Scope 2 assured]]="N/A")),1,0))</f>
        <v/>
      </c>
      <c r="AU20" s="5" t="str">
        <f>IF(tblData[[#This Row],[External statement]]="N","",IF(tblData[[#This Row],[Figures listed]]="Y",1,0))</f>
        <v/>
      </c>
      <c r="AV20" s="5" t="str">
        <f>IF(tblData[[#This Row],[External statement]]="N","",tblData[[#This Row],[P1 Scope 1 and 2]]+tblData[[#This Row],[P2 Figures]])</f>
        <v/>
      </c>
      <c r="AW20" s="5" t="str">
        <f>IF(tblData[[#This Row],[External statement]]="N","",tblData[[#This Row],[Core score]]+tblData[[#This Row],[PSPK score]])</f>
        <v/>
      </c>
      <c r="AX20" s="5" t="str">
        <f>IF(tblData[[#This Row],[External statement]]="N","",IF(tblData[[#This Row],[Core score]]=5,"Y","N"))</f>
        <v/>
      </c>
    </row>
    <row r="21" spans="1:50" ht="26.4" x14ac:dyDescent="0.3">
      <c r="A21" s="5" t="s">
        <v>204</v>
      </c>
      <c r="B21" s="6" t="s">
        <v>205</v>
      </c>
      <c r="C21" s="5" t="s">
        <v>80</v>
      </c>
      <c r="D21" s="5" t="s">
        <v>187</v>
      </c>
      <c r="E21" s="5" t="s">
        <v>82</v>
      </c>
      <c r="F21" s="5" t="s">
        <v>83</v>
      </c>
      <c r="G21" s="8" t="s">
        <v>206</v>
      </c>
      <c r="H21" s="9">
        <v>46316</v>
      </c>
      <c r="I21" s="5" t="s">
        <v>85</v>
      </c>
      <c r="J21" s="5" t="str">
        <f>IF(OR(tblData[[#This Row],[Assurance category]]="Independent assurance",tblData[[#This Row],[Assurance category]]="Verification only"),"Y","N")</f>
        <v>N</v>
      </c>
      <c r="K21" s="5" t="s">
        <v>82</v>
      </c>
      <c r="L21" s="6" t="s">
        <v>86</v>
      </c>
      <c r="M21" s="6" t="s">
        <v>86</v>
      </c>
      <c r="N21" s="5" t="s">
        <v>86</v>
      </c>
      <c r="O21" s="5" t="s">
        <v>86</v>
      </c>
      <c r="P21" s="5" t="s">
        <v>86</v>
      </c>
      <c r="Q21" s="5" t="s">
        <v>86</v>
      </c>
      <c r="R21" s="5" t="s">
        <v>86</v>
      </c>
      <c r="S21" s="5" t="s">
        <v>87</v>
      </c>
      <c r="T21" s="5" t="s">
        <v>86</v>
      </c>
      <c r="U21" s="5" t="s">
        <v>87</v>
      </c>
      <c r="V21" s="5" t="s">
        <v>86</v>
      </c>
      <c r="W21" s="5" t="s">
        <v>87</v>
      </c>
      <c r="X21" s="5" t="s">
        <v>86</v>
      </c>
      <c r="Y21" s="5" t="s">
        <v>86</v>
      </c>
      <c r="Z21" s="5" t="s">
        <v>86</v>
      </c>
      <c r="AA21" s="5" t="s">
        <v>86</v>
      </c>
      <c r="AB21" s="5" t="s">
        <v>86</v>
      </c>
      <c r="AC21" s="6" t="s">
        <v>86</v>
      </c>
      <c r="AD21" s="5" t="s">
        <v>86</v>
      </c>
      <c r="AE21" s="5" t="s">
        <v>86</v>
      </c>
      <c r="AF21" s="5" t="s">
        <v>86</v>
      </c>
      <c r="AG21" s="5" t="s">
        <v>86</v>
      </c>
      <c r="AH21" s="5" t="s">
        <v>86</v>
      </c>
      <c r="AI21" s="5" t="s">
        <v>86</v>
      </c>
      <c r="AJ21" s="5" t="s">
        <v>86</v>
      </c>
      <c r="AK21" s="5" t="s">
        <v>86</v>
      </c>
      <c r="AL21" s="5" t="s">
        <v>86</v>
      </c>
      <c r="AM21" s="6" t="s">
        <v>207</v>
      </c>
      <c r="AN21" s="5" t="str">
        <f>IF(tblData[[#This Row],[External statement]]="N","",IF(tblData[[#This Row],[Independence statement]]="Y",1,0))</f>
        <v/>
      </c>
      <c r="AO21" s="5" t="str">
        <f>IF(tblData[[#This Row],[External statement]]="N","",IF(tblData[[#This Row],[QM or ethics reference]]="Y",1,0))</f>
        <v/>
      </c>
      <c r="AP21" s="5" t="str">
        <f>IF(tblData[[#This Row],[External statement]]="N","",IF(OR(tblData[[#This Row],[Assurance level]]="Limited",tblData[[#This Row],[Assurance level]]="Reasonable"),1,0))</f>
        <v/>
      </c>
      <c r="AQ21" s="5" t="str">
        <f>IF(tblData[[#This Row],[External statement]]="N","",IF(ISNUMBER(SEARCH("ISAE",tblData[[#This Row],[Standard]])),1,0))</f>
        <v/>
      </c>
      <c r="AR21" s="5" t="str">
        <f>IF(tblData[[#This Row],[External statement]]="N","",IF(OR(tblData[[#This Row],[Conclusion]]="Unmodified",tblData[[#This Row],[Conclusion]]="Modified"),1,0))</f>
        <v/>
      </c>
      <c r="AS21" s="5" t="str">
        <f>IF(tblData[[#This Row],[External statement]]="N","",tblData[[#This Row],[C1 Independence]]+tblData[[#This Row],[C2 Quality management]]+tblData[[#This Row],[C3 Level]]+tblData[[#This Row],[C4 Standard]]+tblData[[#This Row],[C5 Conclusion]])</f>
        <v/>
      </c>
      <c r="AT21" s="5" t="str">
        <f>IF(tblData[[#This Row],[External statement]]="N","",IF(AND(tblData[[#This Row],[Scope 1 assured]]="Y",OR(tblData[[#This Row],[Scope 2 assured]]="Y",tblData[[#This Row],[Scope 2 assured]]="N/A")),1,0))</f>
        <v/>
      </c>
      <c r="AU21" s="5" t="str">
        <f>IF(tblData[[#This Row],[External statement]]="N","",IF(tblData[[#This Row],[Figures listed]]="Y",1,0))</f>
        <v/>
      </c>
      <c r="AV21" s="5" t="str">
        <f>IF(tblData[[#This Row],[External statement]]="N","",tblData[[#This Row],[P1 Scope 1 and 2]]+tblData[[#This Row],[P2 Figures]])</f>
        <v/>
      </c>
      <c r="AW21" s="5" t="str">
        <f>IF(tblData[[#This Row],[External statement]]="N","",tblData[[#This Row],[Core score]]+tblData[[#This Row],[PSPK score]])</f>
        <v/>
      </c>
      <c r="AX21" s="5" t="str">
        <f>IF(tblData[[#This Row],[External statement]]="N","",IF(tblData[[#This Row],[Core score]]=5,"Y","N"))</f>
        <v/>
      </c>
    </row>
    <row r="22" spans="1:50" ht="26.4" x14ac:dyDescent="0.3">
      <c r="A22" s="5" t="s">
        <v>208</v>
      </c>
      <c r="B22" s="6" t="s">
        <v>209</v>
      </c>
      <c r="C22" s="5" t="s">
        <v>80</v>
      </c>
      <c r="D22" s="5" t="s">
        <v>193</v>
      </c>
      <c r="E22" s="5" t="s">
        <v>82</v>
      </c>
      <c r="F22" s="5" t="s">
        <v>83</v>
      </c>
      <c r="G22" s="8" t="s">
        <v>210</v>
      </c>
      <c r="H22" s="9">
        <v>46316</v>
      </c>
      <c r="I22" s="5" t="s">
        <v>125</v>
      </c>
      <c r="J22" s="5" t="str">
        <f>IF(OR(tblData[[#This Row],[Assurance category]]="Independent assurance",tblData[[#This Row],[Assurance category]]="Verification only"),"Y","N")</f>
        <v>Y</v>
      </c>
      <c r="K22" s="5" t="s">
        <v>82</v>
      </c>
      <c r="L22" s="6" t="s">
        <v>86</v>
      </c>
      <c r="M22" s="6" t="s">
        <v>195</v>
      </c>
      <c r="N22" s="5" t="s">
        <v>196</v>
      </c>
      <c r="O22" s="5" t="s">
        <v>197</v>
      </c>
      <c r="P22" s="5" t="s">
        <v>86</v>
      </c>
      <c r="Q22" s="5" t="s">
        <v>144</v>
      </c>
      <c r="R22" s="5" t="s">
        <v>145</v>
      </c>
      <c r="S22" s="5" t="s">
        <v>87</v>
      </c>
      <c r="T22" s="5" t="s">
        <v>82</v>
      </c>
      <c r="U22" s="5" t="s">
        <v>87</v>
      </c>
      <c r="V22" s="5" t="s">
        <v>82</v>
      </c>
      <c r="W22" s="5" t="s">
        <v>82</v>
      </c>
      <c r="X22" s="5" t="s">
        <v>82</v>
      </c>
      <c r="Y22" s="5" t="s">
        <v>82</v>
      </c>
      <c r="Z22" s="5" t="s">
        <v>82</v>
      </c>
      <c r="AA22" s="5" t="s">
        <v>82</v>
      </c>
      <c r="AB22" s="5" t="s">
        <v>87</v>
      </c>
      <c r="AC22" s="6" t="s">
        <v>211</v>
      </c>
      <c r="AD22" s="5" t="s">
        <v>87</v>
      </c>
      <c r="AE22" s="5" t="s">
        <v>87</v>
      </c>
      <c r="AF22" s="5" t="s">
        <v>113</v>
      </c>
      <c r="AG22" s="5" t="s">
        <v>133</v>
      </c>
      <c r="AH22" s="5" t="s">
        <v>82</v>
      </c>
      <c r="AI22" s="5" t="s">
        <v>82</v>
      </c>
      <c r="AJ22" s="5" t="s">
        <v>82</v>
      </c>
      <c r="AK22" s="5" t="s">
        <v>82</v>
      </c>
      <c r="AL22" s="5" t="s">
        <v>86</v>
      </c>
      <c r="AM22" s="6" t="s">
        <v>212</v>
      </c>
      <c r="AN22" s="5">
        <f>IF(tblData[[#This Row],[External statement]]="N","",IF(tblData[[#This Row],[Independence statement]]="Y",1,0))</f>
        <v>1</v>
      </c>
      <c r="AO22" s="5">
        <f>IF(tblData[[#This Row],[External statement]]="N","",IF(tblData[[#This Row],[QM or ethics reference]]="Y",1,0))</f>
        <v>0</v>
      </c>
      <c r="AP22" s="5">
        <f>IF(tblData[[#This Row],[External statement]]="N","",IF(OR(tblData[[#This Row],[Assurance level]]="Limited",tblData[[#This Row],[Assurance level]]="Reasonable"),1,0))</f>
        <v>1</v>
      </c>
      <c r="AQ22" s="5">
        <f>IF(tblData[[#This Row],[External statement]]="N","",IF(ISNUMBER(SEARCH("ISAE",tblData[[#This Row],[Standard]])),1,0))</f>
        <v>1</v>
      </c>
      <c r="AR22" s="5">
        <f>IF(tblData[[#This Row],[External statement]]="N","",IF(OR(tblData[[#This Row],[Conclusion]]="Unmodified",tblData[[#This Row],[Conclusion]]="Modified"),1,0))</f>
        <v>1</v>
      </c>
      <c r="AS22" s="5">
        <f>IF(tblData[[#This Row],[External statement]]="N","",tblData[[#This Row],[C1 Independence]]+tblData[[#This Row],[C2 Quality management]]+tblData[[#This Row],[C3 Level]]+tblData[[#This Row],[C4 Standard]]+tblData[[#This Row],[C5 Conclusion]])</f>
        <v>4</v>
      </c>
      <c r="AT22" s="5">
        <f>IF(tblData[[#This Row],[External statement]]="N","",IF(AND(tblData[[#This Row],[Scope 1 assured]]="Y",OR(tblData[[#This Row],[Scope 2 assured]]="Y",tblData[[#This Row],[Scope 2 assured]]="N/A")),1,0))</f>
        <v>0</v>
      </c>
      <c r="AU22" s="5">
        <f>IF(tblData[[#This Row],[External statement]]="N","",IF(tblData[[#This Row],[Figures listed]]="Y",1,0))</f>
        <v>0</v>
      </c>
      <c r="AV22" s="5">
        <f>IF(tblData[[#This Row],[External statement]]="N","",tblData[[#This Row],[P1 Scope 1 and 2]]+tblData[[#This Row],[P2 Figures]])</f>
        <v>0</v>
      </c>
      <c r="AW22" s="5">
        <f>IF(tblData[[#This Row],[External statement]]="N","",tblData[[#This Row],[Core score]]+tblData[[#This Row],[PSPK score]])</f>
        <v>4</v>
      </c>
      <c r="AX22" s="5" t="str">
        <f>IF(tblData[[#This Row],[External statement]]="N","",IF(tblData[[#This Row],[Core score]]=5,"Y","N"))</f>
        <v>N</v>
      </c>
    </row>
    <row r="23" spans="1:50" ht="52.8" x14ac:dyDescent="0.3">
      <c r="A23" s="5" t="s">
        <v>213</v>
      </c>
      <c r="B23" s="6" t="s">
        <v>214</v>
      </c>
      <c r="C23" s="5" t="s">
        <v>215</v>
      </c>
      <c r="D23" s="5" t="s">
        <v>216</v>
      </c>
      <c r="E23" s="5" t="s">
        <v>82</v>
      </c>
      <c r="F23" s="5" t="s">
        <v>83</v>
      </c>
      <c r="G23" s="8" t="s">
        <v>217</v>
      </c>
      <c r="H23" s="9">
        <v>46316</v>
      </c>
      <c r="I23" s="5" t="s">
        <v>125</v>
      </c>
      <c r="J23" s="5" t="str">
        <f>IF(OR(tblData[[#This Row],[Assurance category]]="Independent assurance",tblData[[#This Row],[Assurance category]]="Verification only"),"Y","N")</f>
        <v>Y</v>
      </c>
      <c r="K23" s="5" t="s">
        <v>87</v>
      </c>
      <c r="L23" s="6" t="s">
        <v>218</v>
      </c>
      <c r="M23" s="6" t="s">
        <v>126</v>
      </c>
      <c r="N23" s="5" t="s">
        <v>127</v>
      </c>
      <c r="O23" s="5" t="s">
        <v>128</v>
      </c>
      <c r="P23" s="5" t="s">
        <v>129</v>
      </c>
      <c r="Q23" s="5" t="s">
        <v>130</v>
      </c>
      <c r="R23" s="5" t="s">
        <v>131</v>
      </c>
      <c r="S23" s="5" t="s">
        <v>87</v>
      </c>
      <c r="T23" s="5" t="s">
        <v>87</v>
      </c>
      <c r="U23" s="5" t="s">
        <v>87</v>
      </c>
      <c r="V23" s="5" t="s">
        <v>87</v>
      </c>
      <c r="W23" s="5" t="s">
        <v>87</v>
      </c>
      <c r="X23" s="5" t="s">
        <v>87</v>
      </c>
      <c r="Y23" s="5" t="s">
        <v>87</v>
      </c>
      <c r="Z23" s="5" t="s">
        <v>82</v>
      </c>
      <c r="AA23" s="5" t="s">
        <v>87</v>
      </c>
      <c r="AB23" s="5" t="s">
        <v>87</v>
      </c>
      <c r="AC23" s="6" t="s">
        <v>219</v>
      </c>
      <c r="AD23" s="5" t="s">
        <v>87</v>
      </c>
      <c r="AE23" s="5" t="s">
        <v>87</v>
      </c>
      <c r="AF23" s="5" t="s">
        <v>82</v>
      </c>
      <c r="AG23" s="5" t="s">
        <v>133</v>
      </c>
      <c r="AH23" s="5" t="s">
        <v>82</v>
      </c>
      <c r="AI23" s="5" t="s">
        <v>82</v>
      </c>
      <c r="AJ23" s="5" t="s">
        <v>82</v>
      </c>
      <c r="AK23" s="5" t="s">
        <v>82</v>
      </c>
      <c r="AL23" s="5" t="s">
        <v>86</v>
      </c>
      <c r="AM23" s="6" t="s">
        <v>220</v>
      </c>
      <c r="AN23" s="5">
        <f>IF(tblData[[#This Row],[External statement]]="N","",IF(tblData[[#This Row],[Independence statement]]="Y",1,0))</f>
        <v>1</v>
      </c>
      <c r="AO23" s="5">
        <f>IF(tblData[[#This Row],[External statement]]="N","",IF(tblData[[#This Row],[QM or ethics reference]]="Y",1,0))</f>
        <v>0</v>
      </c>
      <c r="AP23" s="5">
        <f>IF(tblData[[#This Row],[External statement]]="N","",IF(OR(tblData[[#This Row],[Assurance level]]="Limited",tblData[[#This Row],[Assurance level]]="Reasonable"),1,0))</f>
        <v>0</v>
      </c>
      <c r="AQ23" s="5">
        <f>IF(tblData[[#This Row],[External statement]]="N","",IF(ISNUMBER(SEARCH("ISAE",tblData[[#This Row],[Standard]])),1,0))</f>
        <v>0</v>
      </c>
      <c r="AR23" s="5">
        <f>IF(tblData[[#This Row],[External statement]]="N","",IF(OR(tblData[[#This Row],[Conclusion]]="Unmodified",tblData[[#This Row],[Conclusion]]="Modified"),1,0))</f>
        <v>1</v>
      </c>
      <c r="AS23" s="5">
        <f>IF(tblData[[#This Row],[External statement]]="N","",tblData[[#This Row],[C1 Independence]]+tblData[[#This Row],[C2 Quality management]]+tblData[[#This Row],[C3 Level]]+tblData[[#This Row],[C4 Standard]]+tblData[[#This Row],[C5 Conclusion]])</f>
        <v>2</v>
      </c>
      <c r="AT23" s="5">
        <f>IF(tblData[[#This Row],[External statement]]="N","",IF(AND(tblData[[#This Row],[Scope 1 assured]]="Y",OR(tblData[[#This Row],[Scope 2 assured]]="Y",tblData[[#This Row],[Scope 2 assured]]="N/A")),1,0))</f>
        <v>1</v>
      </c>
      <c r="AU23" s="5">
        <f>IF(tblData[[#This Row],[External statement]]="N","",IF(tblData[[#This Row],[Figures listed]]="Y",1,0))</f>
        <v>0</v>
      </c>
      <c r="AV23" s="5">
        <f>IF(tblData[[#This Row],[External statement]]="N","",tblData[[#This Row],[P1 Scope 1 and 2]]+tblData[[#This Row],[P2 Figures]])</f>
        <v>1</v>
      </c>
      <c r="AW23" s="5">
        <f>IF(tblData[[#This Row],[External statement]]="N","",tblData[[#This Row],[Core score]]+tblData[[#This Row],[PSPK score]])</f>
        <v>3</v>
      </c>
      <c r="AX23" s="5" t="str">
        <f>IF(tblData[[#This Row],[External statement]]="N","",IF(tblData[[#This Row],[Core score]]=5,"Y","N"))</f>
        <v>N</v>
      </c>
    </row>
    <row r="24" spans="1:50" x14ac:dyDescent="0.3">
      <c r="A24" s="5" t="s">
        <v>221</v>
      </c>
      <c r="B24" s="6" t="s">
        <v>222</v>
      </c>
      <c r="C24" s="5" t="s">
        <v>105</v>
      </c>
      <c r="D24" s="5"/>
      <c r="E24" s="5" t="s">
        <v>82</v>
      </c>
      <c r="F24" s="5" t="s">
        <v>83</v>
      </c>
      <c r="G24" s="8" t="s">
        <v>223</v>
      </c>
      <c r="H24" s="9">
        <v>46316</v>
      </c>
      <c r="I24" s="5" t="s">
        <v>85</v>
      </c>
      <c r="J24" s="5" t="str">
        <f>IF(OR(tblData[[#This Row],[Assurance category]]="Independent assurance",tblData[[#This Row],[Assurance category]]="Verification only"),"Y","N")</f>
        <v>N</v>
      </c>
      <c r="K24" s="5" t="s">
        <v>82</v>
      </c>
      <c r="L24" s="6" t="s">
        <v>86</v>
      </c>
      <c r="M24" s="6" t="s">
        <v>86</v>
      </c>
      <c r="N24" s="5" t="s">
        <v>86</v>
      </c>
      <c r="O24" s="5" t="s">
        <v>86</v>
      </c>
      <c r="P24" s="5" t="s">
        <v>86</v>
      </c>
      <c r="Q24" s="5" t="s">
        <v>86</v>
      </c>
      <c r="R24" s="5" t="s">
        <v>86</v>
      </c>
      <c r="S24" s="5" t="s">
        <v>87</v>
      </c>
      <c r="T24" s="5" t="s">
        <v>86</v>
      </c>
      <c r="U24" s="5" t="s">
        <v>82</v>
      </c>
      <c r="V24" s="5" t="s">
        <v>86</v>
      </c>
      <c r="W24" s="5" t="s">
        <v>87</v>
      </c>
      <c r="X24" s="5" t="s">
        <v>86</v>
      </c>
      <c r="Y24" s="5" t="s">
        <v>86</v>
      </c>
      <c r="Z24" s="5" t="s">
        <v>86</v>
      </c>
      <c r="AA24" s="5" t="s">
        <v>86</v>
      </c>
      <c r="AB24" s="5" t="s">
        <v>86</v>
      </c>
      <c r="AC24" s="6" t="s">
        <v>86</v>
      </c>
      <c r="AD24" s="5" t="s">
        <v>86</v>
      </c>
      <c r="AE24" s="5" t="s">
        <v>86</v>
      </c>
      <c r="AF24" s="5" t="s">
        <v>86</v>
      </c>
      <c r="AG24" s="5" t="s">
        <v>86</v>
      </c>
      <c r="AH24" s="5" t="s">
        <v>86</v>
      </c>
      <c r="AI24" s="5" t="s">
        <v>86</v>
      </c>
      <c r="AJ24" s="5" t="s">
        <v>86</v>
      </c>
      <c r="AK24" s="5" t="s">
        <v>86</v>
      </c>
      <c r="AL24" s="5" t="s">
        <v>86</v>
      </c>
      <c r="AM24" s="6" t="s">
        <v>224</v>
      </c>
      <c r="AN24" s="5" t="str">
        <f>IF(tblData[[#This Row],[External statement]]="N","",IF(tblData[[#This Row],[Independence statement]]="Y",1,0))</f>
        <v/>
      </c>
      <c r="AO24" s="5" t="str">
        <f>IF(tblData[[#This Row],[External statement]]="N","",IF(tblData[[#This Row],[QM or ethics reference]]="Y",1,0))</f>
        <v/>
      </c>
      <c r="AP24" s="5" t="str">
        <f>IF(tblData[[#This Row],[External statement]]="N","",IF(OR(tblData[[#This Row],[Assurance level]]="Limited",tblData[[#This Row],[Assurance level]]="Reasonable"),1,0))</f>
        <v/>
      </c>
      <c r="AQ24" s="5" t="str">
        <f>IF(tblData[[#This Row],[External statement]]="N","",IF(ISNUMBER(SEARCH("ISAE",tblData[[#This Row],[Standard]])),1,0))</f>
        <v/>
      </c>
      <c r="AR24" s="5" t="str">
        <f>IF(tblData[[#This Row],[External statement]]="N","",IF(OR(tblData[[#This Row],[Conclusion]]="Unmodified",tblData[[#This Row],[Conclusion]]="Modified"),1,0))</f>
        <v/>
      </c>
      <c r="AS24" s="5" t="str">
        <f>IF(tblData[[#This Row],[External statement]]="N","",tblData[[#This Row],[C1 Independence]]+tblData[[#This Row],[C2 Quality management]]+tblData[[#This Row],[C3 Level]]+tblData[[#This Row],[C4 Standard]]+tblData[[#This Row],[C5 Conclusion]])</f>
        <v/>
      </c>
      <c r="AT24" s="5" t="str">
        <f>IF(tblData[[#This Row],[External statement]]="N","",IF(AND(tblData[[#This Row],[Scope 1 assured]]="Y",OR(tblData[[#This Row],[Scope 2 assured]]="Y",tblData[[#This Row],[Scope 2 assured]]="N/A")),1,0))</f>
        <v/>
      </c>
      <c r="AU24" s="5" t="str">
        <f>IF(tblData[[#This Row],[External statement]]="N","",IF(tblData[[#This Row],[Figures listed]]="Y",1,0))</f>
        <v/>
      </c>
      <c r="AV24" s="5" t="str">
        <f>IF(tblData[[#This Row],[External statement]]="N","",tblData[[#This Row],[P1 Scope 1 and 2]]+tblData[[#This Row],[P2 Figures]])</f>
        <v/>
      </c>
      <c r="AW24" s="5" t="str">
        <f>IF(tblData[[#This Row],[External statement]]="N","",tblData[[#This Row],[Core score]]+tblData[[#This Row],[PSPK score]])</f>
        <v/>
      </c>
      <c r="AX24" s="5" t="str">
        <f>IF(tblData[[#This Row],[External statement]]="N","",IF(tblData[[#This Row],[Core score]]=5,"Y","N"))</f>
        <v/>
      </c>
    </row>
    <row r="25" spans="1:50" ht="52.8" x14ac:dyDescent="0.3">
      <c r="A25" s="5" t="s">
        <v>225</v>
      </c>
      <c r="B25" s="6" t="s">
        <v>226</v>
      </c>
      <c r="C25" s="5" t="s">
        <v>227</v>
      </c>
      <c r="D25" s="5"/>
      <c r="E25" s="5" t="s">
        <v>82</v>
      </c>
      <c r="F25" s="5" t="s">
        <v>83</v>
      </c>
      <c r="G25" s="8" t="s">
        <v>228</v>
      </c>
      <c r="H25" s="9">
        <v>46316</v>
      </c>
      <c r="I25" s="5" t="s">
        <v>85</v>
      </c>
      <c r="J25" s="5" t="str">
        <f>IF(OR(tblData[[#This Row],[Assurance category]]="Independent assurance",tblData[[#This Row],[Assurance category]]="Verification only"),"Y","N")</f>
        <v>N</v>
      </c>
      <c r="K25" s="5" t="s">
        <v>87</v>
      </c>
      <c r="L25" s="6" t="s">
        <v>229</v>
      </c>
      <c r="M25" s="6" t="s">
        <v>86</v>
      </c>
      <c r="N25" s="5" t="s">
        <v>86</v>
      </c>
      <c r="O25" s="5" t="s">
        <v>86</v>
      </c>
      <c r="P25" s="5" t="s">
        <v>86</v>
      </c>
      <c r="Q25" s="5" t="s">
        <v>86</v>
      </c>
      <c r="R25" s="5" t="s">
        <v>86</v>
      </c>
      <c r="S25" s="5" t="s">
        <v>87</v>
      </c>
      <c r="T25" s="5" t="s">
        <v>86</v>
      </c>
      <c r="U25" s="5" t="s">
        <v>87</v>
      </c>
      <c r="V25" s="5" t="s">
        <v>86</v>
      </c>
      <c r="W25" s="5" t="s">
        <v>87</v>
      </c>
      <c r="X25" s="5" t="s">
        <v>86</v>
      </c>
      <c r="Y25" s="5" t="s">
        <v>86</v>
      </c>
      <c r="Z25" s="5" t="s">
        <v>86</v>
      </c>
      <c r="AA25" s="5" t="s">
        <v>86</v>
      </c>
      <c r="AB25" s="5" t="s">
        <v>86</v>
      </c>
      <c r="AC25" s="6" t="s">
        <v>86</v>
      </c>
      <c r="AD25" s="5" t="s">
        <v>86</v>
      </c>
      <c r="AE25" s="5" t="s">
        <v>86</v>
      </c>
      <c r="AF25" s="5" t="s">
        <v>86</v>
      </c>
      <c r="AG25" s="5" t="s">
        <v>86</v>
      </c>
      <c r="AH25" s="5" t="s">
        <v>86</v>
      </c>
      <c r="AI25" s="5" t="s">
        <v>86</v>
      </c>
      <c r="AJ25" s="5" t="s">
        <v>86</v>
      </c>
      <c r="AK25" s="5" t="s">
        <v>86</v>
      </c>
      <c r="AL25" s="5" t="s">
        <v>86</v>
      </c>
      <c r="AM25" s="6" t="s">
        <v>230</v>
      </c>
      <c r="AN25" s="5" t="str">
        <f>IF(tblData[[#This Row],[External statement]]="N","",IF(tblData[[#This Row],[Independence statement]]="Y",1,0))</f>
        <v/>
      </c>
      <c r="AO25" s="5" t="str">
        <f>IF(tblData[[#This Row],[External statement]]="N","",IF(tblData[[#This Row],[QM or ethics reference]]="Y",1,0))</f>
        <v/>
      </c>
      <c r="AP25" s="5" t="str">
        <f>IF(tblData[[#This Row],[External statement]]="N","",IF(OR(tblData[[#This Row],[Assurance level]]="Limited",tblData[[#This Row],[Assurance level]]="Reasonable"),1,0))</f>
        <v/>
      </c>
      <c r="AQ25" s="5" t="str">
        <f>IF(tblData[[#This Row],[External statement]]="N","",IF(ISNUMBER(SEARCH("ISAE",tblData[[#This Row],[Standard]])),1,0))</f>
        <v/>
      </c>
      <c r="AR25" s="5" t="str">
        <f>IF(tblData[[#This Row],[External statement]]="N","",IF(OR(tblData[[#This Row],[Conclusion]]="Unmodified",tblData[[#This Row],[Conclusion]]="Modified"),1,0))</f>
        <v/>
      </c>
      <c r="AS25" s="5" t="str">
        <f>IF(tblData[[#This Row],[External statement]]="N","",tblData[[#This Row],[C1 Independence]]+tblData[[#This Row],[C2 Quality management]]+tblData[[#This Row],[C3 Level]]+tblData[[#This Row],[C4 Standard]]+tblData[[#This Row],[C5 Conclusion]])</f>
        <v/>
      </c>
      <c r="AT25" s="5" t="str">
        <f>IF(tblData[[#This Row],[External statement]]="N","",IF(AND(tblData[[#This Row],[Scope 1 assured]]="Y",OR(tblData[[#This Row],[Scope 2 assured]]="Y",tblData[[#This Row],[Scope 2 assured]]="N/A")),1,0))</f>
        <v/>
      </c>
      <c r="AU25" s="5" t="str">
        <f>IF(tblData[[#This Row],[External statement]]="N","",IF(tblData[[#This Row],[Figures listed]]="Y",1,0))</f>
        <v/>
      </c>
      <c r="AV25" s="5" t="str">
        <f>IF(tblData[[#This Row],[External statement]]="N","",tblData[[#This Row],[P1 Scope 1 and 2]]+tblData[[#This Row],[P2 Figures]])</f>
        <v/>
      </c>
      <c r="AW25" s="5" t="str">
        <f>IF(tblData[[#This Row],[External statement]]="N","",tblData[[#This Row],[Core score]]+tblData[[#This Row],[PSPK score]])</f>
        <v/>
      </c>
      <c r="AX25" s="5" t="str">
        <f>IF(tblData[[#This Row],[External statement]]="N","",IF(tblData[[#This Row],[Core score]]=5,"Y","N"))</f>
        <v/>
      </c>
    </row>
    <row r="26" spans="1:50" ht="39.6" x14ac:dyDescent="0.3">
      <c r="A26" s="5" t="s">
        <v>231</v>
      </c>
      <c r="B26" s="6" t="s">
        <v>232</v>
      </c>
      <c r="C26" s="5" t="s">
        <v>215</v>
      </c>
      <c r="D26" s="5"/>
      <c r="E26" s="5" t="s">
        <v>82</v>
      </c>
      <c r="F26" s="5" t="s">
        <v>83</v>
      </c>
      <c r="G26" s="8" t="s">
        <v>233</v>
      </c>
      <c r="H26" s="9">
        <v>46316</v>
      </c>
      <c r="I26" s="5" t="s">
        <v>125</v>
      </c>
      <c r="J26" s="5" t="str">
        <f>IF(OR(tblData[[#This Row],[Assurance category]]="Independent assurance",tblData[[#This Row],[Assurance category]]="Verification only"),"Y","N")</f>
        <v>Y</v>
      </c>
      <c r="K26" s="5" t="s">
        <v>87</v>
      </c>
      <c r="L26" s="6" t="s">
        <v>234</v>
      </c>
      <c r="M26" s="6" t="s">
        <v>235</v>
      </c>
      <c r="N26" s="5" t="s">
        <v>142</v>
      </c>
      <c r="O26" s="5" t="s">
        <v>143</v>
      </c>
      <c r="P26" s="5" t="s">
        <v>86</v>
      </c>
      <c r="Q26" s="5" t="s">
        <v>144</v>
      </c>
      <c r="R26" s="5" t="s">
        <v>145</v>
      </c>
      <c r="S26" s="5" t="s">
        <v>87</v>
      </c>
      <c r="T26" s="5" t="s">
        <v>87</v>
      </c>
      <c r="U26" s="5" t="s">
        <v>87</v>
      </c>
      <c r="V26" s="5" t="s">
        <v>87</v>
      </c>
      <c r="W26" s="5" t="s">
        <v>87</v>
      </c>
      <c r="X26" s="5" t="s">
        <v>87</v>
      </c>
      <c r="Y26" s="5" t="s">
        <v>87</v>
      </c>
      <c r="Z26" s="5" t="s">
        <v>82</v>
      </c>
      <c r="AA26" s="5" t="s">
        <v>82</v>
      </c>
      <c r="AB26" s="5" t="s">
        <v>87</v>
      </c>
      <c r="AC26" s="6" t="s">
        <v>236</v>
      </c>
      <c r="AD26" s="5" t="s">
        <v>87</v>
      </c>
      <c r="AE26" s="5" t="s">
        <v>82</v>
      </c>
      <c r="AF26" s="5" t="s">
        <v>87</v>
      </c>
      <c r="AG26" s="5" t="s">
        <v>133</v>
      </c>
      <c r="AH26" s="5" t="s">
        <v>87</v>
      </c>
      <c r="AI26" s="5" t="s">
        <v>87</v>
      </c>
      <c r="AJ26" s="5" t="s">
        <v>87</v>
      </c>
      <c r="AK26" s="5" t="s">
        <v>87</v>
      </c>
      <c r="AL26" s="5" t="s">
        <v>87</v>
      </c>
      <c r="AM26" s="6" t="s">
        <v>237</v>
      </c>
      <c r="AN26" s="5">
        <f>IF(tblData[[#This Row],[External statement]]="N","",IF(tblData[[#This Row],[Independence statement]]="Y",1,0))</f>
        <v>1</v>
      </c>
      <c r="AO26" s="5">
        <f>IF(tblData[[#This Row],[External statement]]="N","",IF(tblData[[#This Row],[QM or ethics reference]]="Y",1,0))</f>
        <v>1</v>
      </c>
      <c r="AP26" s="5">
        <f>IF(tblData[[#This Row],[External statement]]="N","",IF(OR(tblData[[#This Row],[Assurance level]]="Limited",tblData[[#This Row],[Assurance level]]="Reasonable"),1,0))</f>
        <v>1</v>
      </c>
      <c r="AQ26" s="5">
        <f>IF(tblData[[#This Row],[External statement]]="N","",IF(ISNUMBER(SEARCH("ISAE",tblData[[#This Row],[Standard]])),1,0))</f>
        <v>1</v>
      </c>
      <c r="AR26" s="5">
        <f>IF(tblData[[#This Row],[External statement]]="N","",IF(OR(tblData[[#This Row],[Conclusion]]="Unmodified",tblData[[#This Row],[Conclusion]]="Modified"),1,0))</f>
        <v>1</v>
      </c>
      <c r="AS26" s="5">
        <f>IF(tblData[[#This Row],[External statement]]="N","",tblData[[#This Row],[C1 Independence]]+tblData[[#This Row],[C2 Quality management]]+tblData[[#This Row],[C3 Level]]+tblData[[#This Row],[C4 Standard]]+tblData[[#This Row],[C5 Conclusion]])</f>
        <v>5</v>
      </c>
      <c r="AT26" s="5">
        <f>IF(tblData[[#This Row],[External statement]]="N","",IF(AND(tblData[[#This Row],[Scope 1 assured]]="Y",OR(tblData[[#This Row],[Scope 2 assured]]="Y",tblData[[#This Row],[Scope 2 assured]]="N/A")),1,0))</f>
        <v>1</v>
      </c>
      <c r="AU26" s="5">
        <f>IF(tblData[[#This Row],[External statement]]="N","",IF(tblData[[#This Row],[Figures listed]]="Y",1,0))</f>
        <v>1</v>
      </c>
      <c r="AV26" s="5">
        <f>IF(tblData[[#This Row],[External statement]]="N","",tblData[[#This Row],[P1 Scope 1 and 2]]+tblData[[#This Row],[P2 Figures]])</f>
        <v>2</v>
      </c>
      <c r="AW26" s="5">
        <f>IF(tblData[[#This Row],[External statement]]="N","",tblData[[#This Row],[Core score]]+tblData[[#This Row],[PSPK score]])</f>
        <v>7</v>
      </c>
      <c r="AX26" s="5" t="str">
        <f>IF(tblData[[#This Row],[External statement]]="N","",IF(tblData[[#This Row],[Core score]]=5,"Y","N"))</f>
        <v>Y</v>
      </c>
    </row>
    <row r="27" spans="1:50" x14ac:dyDescent="0.3">
      <c r="A27" s="5" t="s">
        <v>238</v>
      </c>
      <c r="B27" s="6" t="s">
        <v>239</v>
      </c>
      <c r="C27" s="5" t="s">
        <v>240</v>
      </c>
      <c r="D27" s="5"/>
      <c r="E27" s="5" t="s">
        <v>82</v>
      </c>
      <c r="F27" s="5" t="s">
        <v>118</v>
      </c>
      <c r="G27" s="8" t="s">
        <v>241</v>
      </c>
      <c r="H27" s="9">
        <v>46316</v>
      </c>
      <c r="I27" s="5" t="s">
        <v>85</v>
      </c>
      <c r="J27" s="5" t="str">
        <f>IF(OR(tblData[[#This Row],[Assurance category]]="Independent assurance",tblData[[#This Row],[Assurance category]]="Verification only"),"Y","N")</f>
        <v>N</v>
      </c>
      <c r="K27" s="5" t="s">
        <v>82</v>
      </c>
      <c r="L27" s="6" t="s">
        <v>86</v>
      </c>
      <c r="M27" s="6" t="s">
        <v>86</v>
      </c>
      <c r="N27" s="5" t="s">
        <v>86</v>
      </c>
      <c r="O27" s="5" t="s">
        <v>86</v>
      </c>
      <c r="P27" s="5" t="s">
        <v>86</v>
      </c>
      <c r="Q27" s="5" t="s">
        <v>86</v>
      </c>
      <c r="R27" s="5" t="s">
        <v>86</v>
      </c>
      <c r="S27" s="5" t="s">
        <v>87</v>
      </c>
      <c r="T27" s="5" t="s">
        <v>86</v>
      </c>
      <c r="U27" s="5" t="s">
        <v>87</v>
      </c>
      <c r="V27" s="5" t="s">
        <v>86</v>
      </c>
      <c r="W27" s="5" t="s">
        <v>82</v>
      </c>
      <c r="X27" s="5" t="s">
        <v>86</v>
      </c>
      <c r="Y27" s="5" t="s">
        <v>86</v>
      </c>
      <c r="Z27" s="5" t="s">
        <v>86</v>
      </c>
      <c r="AA27" s="5" t="s">
        <v>86</v>
      </c>
      <c r="AB27" s="5" t="s">
        <v>86</v>
      </c>
      <c r="AC27" s="6" t="s">
        <v>86</v>
      </c>
      <c r="AD27" s="5" t="s">
        <v>86</v>
      </c>
      <c r="AE27" s="5" t="s">
        <v>86</v>
      </c>
      <c r="AF27" s="5" t="s">
        <v>86</v>
      </c>
      <c r="AG27" s="5" t="s">
        <v>86</v>
      </c>
      <c r="AH27" s="5" t="s">
        <v>86</v>
      </c>
      <c r="AI27" s="5" t="s">
        <v>86</v>
      </c>
      <c r="AJ27" s="5" t="s">
        <v>86</v>
      </c>
      <c r="AK27" s="5" t="s">
        <v>86</v>
      </c>
      <c r="AL27" s="5" t="s">
        <v>86</v>
      </c>
      <c r="AM27" s="6" t="s">
        <v>242</v>
      </c>
      <c r="AN27" s="5" t="str">
        <f>IF(tblData[[#This Row],[External statement]]="N","",IF(tblData[[#This Row],[Independence statement]]="Y",1,0))</f>
        <v/>
      </c>
      <c r="AO27" s="5" t="str">
        <f>IF(tblData[[#This Row],[External statement]]="N","",IF(tblData[[#This Row],[QM or ethics reference]]="Y",1,0))</f>
        <v/>
      </c>
      <c r="AP27" s="5" t="str">
        <f>IF(tblData[[#This Row],[External statement]]="N","",IF(OR(tblData[[#This Row],[Assurance level]]="Limited",tblData[[#This Row],[Assurance level]]="Reasonable"),1,0))</f>
        <v/>
      </c>
      <c r="AQ27" s="5" t="str">
        <f>IF(tblData[[#This Row],[External statement]]="N","",IF(ISNUMBER(SEARCH("ISAE",tblData[[#This Row],[Standard]])),1,0))</f>
        <v/>
      </c>
      <c r="AR27" s="5" t="str">
        <f>IF(tblData[[#This Row],[External statement]]="N","",IF(OR(tblData[[#This Row],[Conclusion]]="Unmodified",tblData[[#This Row],[Conclusion]]="Modified"),1,0))</f>
        <v/>
      </c>
      <c r="AS27" s="5" t="str">
        <f>IF(tblData[[#This Row],[External statement]]="N","",tblData[[#This Row],[C1 Independence]]+tblData[[#This Row],[C2 Quality management]]+tblData[[#This Row],[C3 Level]]+tblData[[#This Row],[C4 Standard]]+tblData[[#This Row],[C5 Conclusion]])</f>
        <v/>
      </c>
      <c r="AT27" s="5" t="str">
        <f>IF(tblData[[#This Row],[External statement]]="N","",IF(AND(tblData[[#This Row],[Scope 1 assured]]="Y",OR(tblData[[#This Row],[Scope 2 assured]]="Y",tblData[[#This Row],[Scope 2 assured]]="N/A")),1,0))</f>
        <v/>
      </c>
      <c r="AU27" s="5" t="str">
        <f>IF(tblData[[#This Row],[External statement]]="N","",IF(tblData[[#This Row],[Figures listed]]="Y",1,0))</f>
        <v/>
      </c>
      <c r="AV27" s="5" t="str">
        <f>IF(tblData[[#This Row],[External statement]]="N","",tblData[[#This Row],[P1 Scope 1 and 2]]+tblData[[#This Row],[P2 Figures]])</f>
        <v/>
      </c>
      <c r="AW27" s="5" t="str">
        <f>IF(tblData[[#This Row],[External statement]]="N","",tblData[[#This Row],[Core score]]+tblData[[#This Row],[PSPK score]])</f>
        <v/>
      </c>
      <c r="AX27" s="5" t="str">
        <f>IF(tblData[[#This Row],[External statement]]="N","",IF(tblData[[#This Row],[Core score]]=5,"Y","N"))</f>
        <v/>
      </c>
    </row>
    <row r="28" spans="1:50" ht="26.4" x14ac:dyDescent="0.3">
      <c r="A28" s="5" t="s">
        <v>243</v>
      </c>
      <c r="B28" s="6" t="s">
        <v>244</v>
      </c>
      <c r="C28" s="5" t="s">
        <v>117</v>
      </c>
      <c r="D28" s="5" t="s">
        <v>245</v>
      </c>
      <c r="E28" s="5" t="s">
        <v>82</v>
      </c>
      <c r="F28" s="5" t="s">
        <v>83</v>
      </c>
      <c r="G28" s="8" t="s">
        <v>246</v>
      </c>
      <c r="H28" s="9">
        <v>46316</v>
      </c>
      <c r="I28" s="5" t="s">
        <v>125</v>
      </c>
      <c r="J28" s="5" t="str">
        <f>IF(OR(tblData[[#This Row],[Assurance category]]="Independent assurance",tblData[[#This Row],[Assurance category]]="Verification only"),"Y","N")</f>
        <v>Y</v>
      </c>
      <c r="K28" s="5" t="s">
        <v>82</v>
      </c>
      <c r="L28" s="6" t="s">
        <v>86</v>
      </c>
      <c r="M28" s="6" t="s">
        <v>195</v>
      </c>
      <c r="N28" s="5" t="s">
        <v>196</v>
      </c>
      <c r="O28" s="5" t="s">
        <v>197</v>
      </c>
      <c r="P28" s="5" t="s">
        <v>86</v>
      </c>
      <c r="Q28" s="5" t="s">
        <v>144</v>
      </c>
      <c r="R28" s="5" t="s">
        <v>145</v>
      </c>
      <c r="S28" s="5" t="s">
        <v>87</v>
      </c>
      <c r="T28" s="5" t="s">
        <v>87</v>
      </c>
      <c r="U28" s="5" t="s">
        <v>87</v>
      </c>
      <c r="V28" s="5" t="s">
        <v>87</v>
      </c>
      <c r="W28" s="5" t="s">
        <v>82</v>
      </c>
      <c r="X28" s="5" t="s">
        <v>82</v>
      </c>
      <c r="Y28" s="5" t="s">
        <v>87</v>
      </c>
      <c r="Z28" s="5" t="s">
        <v>87</v>
      </c>
      <c r="AA28" s="5" t="s">
        <v>82</v>
      </c>
      <c r="AB28" s="5" t="s">
        <v>87</v>
      </c>
      <c r="AC28" s="6" t="s">
        <v>247</v>
      </c>
      <c r="AD28" s="5" t="s">
        <v>87</v>
      </c>
      <c r="AE28" s="5" t="s">
        <v>87</v>
      </c>
      <c r="AF28" s="5" t="s">
        <v>113</v>
      </c>
      <c r="AG28" s="5" t="s">
        <v>133</v>
      </c>
      <c r="AH28" s="5" t="s">
        <v>82</v>
      </c>
      <c r="AI28" s="5" t="s">
        <v>82</v>
      </c>
      <c r="AJ28" s="5" t="s">
        <v>82</v>
      </c>
      <c r="AK28" s="5" t="s">
        <v>82</v>
      </c>
      <c r="AL28" s="5" t="s">
        <v>86</v>
      </c>
      <c r="AM28" s="6" t="s">
        <v>248</v>
      </c>
      <c r="AN28" s="5">
        <f>IF(tblData[[#This Row],[External statement]]="N","",IF(tblData[[#This Row],[Independence statement]]="Y",1,0))</f>
        <v>1</v>
      </c>
      <c r="AO28" s="5">
        <f>IF(tblData[[#This Row],[External statement]]="N","",IF(tblData[[#This Row],[QM or ethics reference]]="Y",1,0))</f>
        <v>0</v>
      </c>
      <c r="AP28" s="5">
        <f>IF(tblData[[#This Row],[External statement]]="N","",IF(OR(tblData[[#This Row],[Assurance level]]="Limited",tblData[[#This Row],[Assurance level]]="Reasonable"),1,0))</f>
        <v>1</v>
      </c>
      <c r="AQ28" s="5">
        <f>IF(tblData[[#This Row],[External statement]]="N","",IF(ISNUMBER(SEARCH("ISAE",tblData[[#This Row],[Standard]])),1,0))</f>
        <v>1</v>
      </c>
      <c r="AR28" s="5">
        <f>IF(tblData[[#This Row],[External statement]]="N","",IF(OR(tblData[[#This Row],[Conclusion]]="Unmodified",tblData[[#This Row],[Conclusion]]="Modified"),1,0))</f>
        <v>1</v>
      </c>
      <c r="AS28" s="5">
        <f>IF(tblData[[#This Row],[External statement]]="N","",tblData[[#This Row],[C1 Independence]]+tblData[[#This Row],[C2 Quality management]]+tblData[[#This Row],[C3 Level]]+tblData[[#This Row],[C4 Standard]]+tblData[[#This Row],[C5 Conclusion]])</f>
        <v>4</v>
      </c>
      <c r="AT28" s="5">
        <f>IF(tblData[[#This Row],[External statement]]="N","",IF(AND(tblData[[#This Row],[Scope 1 assured]]="Y",OR(tblData[[#This Row],[Scope 2 assured]]="Y",tblData[[#This Row],[Scope 2 assured]]="N/A")),1,0))</f>
        <v>1</v>
      </c>
      <c r="AU28" s="5">
        <f>IF(tblData[[#This Row],[External statement]]="N","",IF(tblData[[#This Row],[Figures listed]]="Y",1,0))</f>
        <v>0</v>
      </c>
      <c r="AV28" s="5">
        <f>IF(tblData[[#This Row],[External statement]]="N","",tblData[[#This Row],[P1 Scope 1 and 2]]+tblData[[#This Row],[P2 Figures]])</f>
        <v>1</v>
      </c>
      <c r="AW28" s="5">
        <f>IF(tblData[[#This Row],[External statement]]="N","",tblData[[#This Row],[Core score]]+tblData[[#This Row],[PSPK score]])</f>
        <v>5</v>
      </c>
      <c r="AX28" s="5" t="str">
        <f>IF(tblData[[#This Row],[External statement]]="N","",IF(tblData[[#This Row],[Core score]]=5,"Y","N"))</f>
        <v>N</v>
      </c>
    </row>
    <row r="29" spans="1:50" ht="26.4" x14ac:dyDescent="0.3">
      <c r="A29" s="5" t="s">
        <v>249</v>
      </c>
      <c r="B29" s="6" t="s">
        <v>250</v>
      </c>
      <c r="C29" s="5" t="s">
        <v>105</v>
      </c>
      <c r="D29" s="5"/>
      <c r="E29" s="5" t="s">
        <v>82</v>
      </c>
      <c r="F29" s="5" t="s">
        <v>83</v>
      </c>
      <c r="G29" s="8" t="s">
        <v>251</v>
      </c>
      <c r="H29" s="9">
        <v>46316</v>
      </c>
      <c r="I29" s="5" t="s">
        <v>125</v>
      </c>
      <c r="J29" s="5" t="str">
        <f>IF(OR(tblData[[#This Row],[Assurance category]]="Independent assurance",tblData[[#This Row],[Assurance category]]="Verification only"),"Y","N")</f>
        <v>Y</v>
      </c>
      <c r="K29" s="5" t="s">
        <v>87</v>
      </c>
      <c r="L29" s="6" t="s">
        <v>252</v>
      </c>
      <c r="M29" s="6" t="s">
        <v>153</v>
      </c>
      <c r="N29" s="5" t="s">
        <v>154</v>
      </c>
      <c r="O29" s="5" t="s">
        <v>128</v>
      </c>
      <c r="P29" s="5" t="s">
        <v>129</v>
      </c>
      <c r="Q29" s="5" t="s">
        <v>130</v>
      </c>
      <c r="R29" s="5" t="s">
        <v>145</v>
      </c>
      <c r="S29" s="5" t="s">
        <v>87</v>
      </c>
      <c r="T29" s="5" t="s">
        <v>82</v>
      </c>
      <c r="U29" s="5" t="s">
        <v>87</v>
      </c>
      <c r="V29" s="5" t="s">
        <v>82</v>
      </c>
      <c r="W29" s="5" t="s">
        <v>82</v>
      </c>
      <c r="X29" s="5" t="s">
        <v>82</v>
      </c>
      <c r="Y29" s="5" t="s">
        <v>82</v>
      </c>
      <c r="Z29" s="5" t="s">
        <v>82</v>
      </c>
      <c r="AA29" s="5" t="s">
        <v>82</v>
      </c>
      <c r="AB29" s="5" t="s">
        <v>87</v>
      </c>
      <c r="AC29" s="6" t="s">
        <v>253</v>
      </c>
      <c r="AD29" s="5" t="s">
        <v>113</v>
      </c>
      <c r="AE29" s="5" t="s">
        <v>87</v>
      </c>
      <c r="AF29" s="5" t="s">
        <v>113</v>
      </c>
      <c r="AG29" s="5" t="s">
        <v>133</v>
      </c>
      <c r="AH29" s="5" t="s">
        <v>82</v>
      </c>
      <c r="AI29" s="5" t="s">
        <v>82</v>
      </c>
      <c r="AJ29" s="5" t="s">
        <v>82</v>
      </c>
      <c r="AK29" s="5" t="s">
        <v>82</v>
      </c>
      <c r="AL29" s="5" t="s">
        <v>86</v>
      </c>
      <c r="AM29" s="6" t="s">
        <v>254</v>
      </c>
      <c r="AN29" s="5">
        <f>IF(tblData[[#This Row],[External statement]]="N","",IF(tblData[[#This Row],[Independence statement]]="Y",1,0))</f>
        <v>0</v>
      </c>
      <c r="AO29" s="5">
        <f>IF(tblData[[#This Row],[External statement]]="N","",IF(tblData[[#This Row],[QM or ethics reference]]="Y",1,0))</f>
        <v>0</v>
      </c>
      <c r="AP29" s="5">
        <f>IF(tblData[[#This Row],[External statement]]="N","",IF(OR(tblData[[#This Row],[Assurance level]]="Limited",tblData[[#This Row],[Assurance level]]="Reasonable"),1,0))</f>
        <v>0</v>
      </c>
      <c r="AQ29" s="5">
        <f>IF(tblData[[#This Row],[External statement]]="N","",IF(ISNUMBER(SEARCH("ISAE",tblData[[#This Row],[Standard]])),1,0))</f>
        <v>0</v>
      </c>
      <c r="AR29" s="5">
        <f>IF(tblData[[#This Row],[External statement]]="N","",IF(OR(tblData[[#This Row],[Conclusion]]="Unmodified",tblData[[#This Row],[Conclusion]]="Modified"),1,0))</f>
        <v>1</v>
      </c>
      <c r="AS29" s="5">
        <f>IF(tblData[[#This Row],[External statement]]="N","",tblData[[#This Row],[C1 Independence]]+tblData[[#This Row],[C2 Quality management]]+tblData[[#This Row],[C3 Level]]+tblData[[#This Row],[C4 Standard]]+tblData[[#This Row],[C5 Conclusion]])</f>
        <v>1</v>
      </c>
      <c r="AT29" s="5">
        <f>IF(tblData[[#This Row],[External statement]]="N","",IF(AND(tblData[[#This Row],[Scope 1 assured]]="Y",OR(tblData[[#This Row],[Scope 2 assured]]="Y",tblData[[#This Row],[Scope 2 assured]]="N/A")),1,0))</f>
        <v>0</v>
      </c>
      <c r="AU29" s="5">
        <f>IF(tblData[[#This Row],[External statement]]="N","",IF(tblData[[#This Row],[Figures listed]]="Y",1,0))</f>
        <v>0</v>
      </c>
      <c r="AV29" s="5">
        <f>IF(tblData[[#This Row],[External statement]]="N","",tblData[[#This Row],[P1 Scope 1 and 2]]+tblData[[#This Row],[P2 Figures]])</f>
        <v>0</v>
      </c>
      <c r="AW29" s="5">
        <f>IF(tblData[[#This Row],[External statement]]="N","",tblData[[#This Row],[Core score]]+tblData[[#This Row],[PSPK score]])</f>
        <v>1</v>
      </c>
      <c r="AX29" s="5" t="str">
        <f>IF(tblData[[#This Row],[External statement]]="N","",IF(tblData[[#This Row],[Core score]]=5,"Y","N"))</f>
        <v>N</v>
      </c>
    </row>
    <row r="30" spans="1:50" ht="26.4" x14ac:dyDescent="0.3">
      <c r="A30" s="5" t="s">
        <v>255</v>
      </c>
      <c r="B30" s="6" t="s">
        <v>256</v>
      </c>
      <c r="C30" s="5" t="s">
        <v>117</v>
      </c>
      <c r="D30" s="5" t="s">
        <v>245</v>
      </c>
      <c r="E30" s="5" t="s">
        <v>82</v>
      </c>
      <c r="F30" s="5" t="s">
        <v>83</v>
      </c>
      <c r="G30" s="8" t="s">
        <v>257</v>
      </c>
      <c r="H30" s="9">
        <v>46316</v>
      </c>
      <c r="I30" s="5" t="s">
        <v>125</v>
      </c>
      <c r="J30" s="5" t="str">
        <f>IF(OR(tblData[[#This Row],[Assurance category]]="Independent assurance",tblData[[#This Row],[Assurance category]]="Verification only"),"Y","N")</f>
        <v>Y</v>
      </c>
      <c r="K30" s="5" t="s">
        <v>82</v>
      </c>
      <c r="L30" s="6" t="s">
        <v>86</v>
      </c>
      <c r="M30" s="6" t="s">
        <v>195</v>
      </c>
      <c r="N30" s="5" t="s">
        <v>196</v>
      </c>
      <c r="O30" s="5" t="s">
        <v>197</v>
      </c>
      <c r="P30" s="5" t="s">
        <v>86</v>
      </c>
      <c r="Q30" s="5" t="s">
        <v>144</v>
      </c>
      <c r="R30" s="5" t="s">
        <v>145</v>
      </c>
      <c r="S30" s="5" t="s">
        <v>87</v>
      </c>
      <c r="T30" s="5" t="s">
        <v>87</v>
      </c>
      <c r="U30" s="5" t="s">
        <v>87</v>
      </c>
      <c r="V30" s="5" t="s">
        <v>87</v>
      </c>
      <c r="W30" s="5" t="s">
        <v>82</v>
      </c>
      <c r="X30" s="5" t="s">
        <v>82</v>
      </c>
      <c r="Y30" s="5" t="s">
        <v>87</v>
      </c>
      <c r="Z30" s="5" t="s">
        <v>87</v>
      </c>
      <c r="AA30" s="5" t="s">
        <v>82</v>
      </c>
      <c r="AB30" s="5" t="s">
        <v>87</v>
      </c>
      <c r="AC30" s="6" t="s">
        <v>247</v>
      </c>
      <c r="AD30" s="5" t="s">
        <v>87</v>
      </c>
      <c r="AE30" s="5" t="s">
        <v>87</v>
      </c>
      <c r="AF30" s="5" t="s">
        <v>113</v>
      </c>
      <c r="AG30" s="5" t="s">
        <v>133</v>
      </c>
      <c r="AH30" s="5" t="s">
        <v>82</v>
      </c>
      <c r="AI30" s="5" t="s">
        <v>82</v>
      </c>
      <c r="AJ30" s="5" t="s">
        <v>82</v>
      </c>
      <c r="AK30" s="5" t="s">
        <v>82</v>
      </c>
      <c r="AL30" s="5" t="s">
        <v>86</v>
      </c>
      <c r="AM30" s="6" t="s">
        <v>258</v>
      </c>
      <c r="AN30" s="5">
        <f>IF(tblData[[#This Row],[External statement]]="N","",IF(tblData[[#This Row],[Independence statement]]="Y",1,0))</f>
        <v>1</v>
      </c>
      <c r="AO30" s="5">
        <f>IF(tblData[[#This Row],[External statement]]="N","",IF(tblData[[#This Row],[QM or ethics reference]]="Y",1,0))</f>
        <v>0</v>
      </c>
      <c r="AP30" s="5">
        <f>IF(tblData[[#This Row],[External statement]]="N","",IF(OR(tblData[[#This Row],[Assurance level]]="Limited",tblData[[#This Row],[Assurance level]]="Reasonable"),1,0))</f>
        <v>1</v>
      </c>
      <c r="AQ30" s="5">
        <f>IF(tblData[[#This Row],[External statement]]="N","",IF(ISNUMBER(SEARCH("ISAE",tblData[[#This Row],[Standard]])),1,0))</f>
        <v>1</v>
      </c>
      <c r="AR30" s="5">
        <f>IF(tblData[[#This Row],[External statement]]="N","",IF(OR(tblData[[#This Row],[Conclusion]]="Unmodified",tblData[[#This Row],[Conclusion]]="Modified"),1,0))</f>
        <v>1</v>
      </c>
      <c r="AS30" s="5">
        <f>IF(tblData[[#This Row],[External statement]]="N","",tblData[[#This Row],[C1 Independence]]+tblData[[#This Row],[C2 Quality management]]+tblData[[#This Row],[C3 Level]]+tblData[[#This Row],[C4 Standard]]+tblData[[#This Row],[C5 Conclusion]])</f>
        <v>4</v>
      </c>
      <c r="AT30" s="5">
        <f>IF(tblData[[#This Row],[External statement]]="N","",IF(AND(tblData[[#This Row],[Scope 1 assured]]="Y",OR(tblData[[#This Row],[Scope 2 assured]]="Y",tblData[[#This Row],[Scope 2 assured]]="N/A")),1,0))</f>
        <v>1</v>
      </c>
      <c r="AU30" s="5">
        <f>IF(tblData[[#This Row],[External statement]]="N","",IF(tblData[[#This Row],[Figures listed]]="Y",1,0))</f>
        <v>0</v>
      </c>
      <c r="AV30" s="5">
        <f>IF(tblData[[#This Row],[External statement]]="N","",tblData[[#This Row],[P1 Scope 1 and 2]]+tblData[[#This Row],[P2 Figures]])</f>
        <v>1</v>
      </c>
      <c r="AW30" s="5">
        <f>IF(tblData[[#This Row],[External statement]]="N","",tblData[[#This Row],[Core score]]+tblData[[#This Row],[PSPK score]])</f>
        <v>5</v>
      </c>
      <c r="AX30" s="5" t="str">
        <f>IF(tblData[[#This Row],[External statement]]="N","",IF(tblData[[#This Row],[Core score]]=5,"Y","N"))</f>
        <v>N</v>
      </c>
    </row>
    <row r="31" spans="1:50" ht="39.6" x14ac:dyDescent="0.3">
      <c r="A31" s="5" t="s">
        <v>259</v>
      </c>
      <c r="B31" s="6" t="s">
        <v>260</v>
      </c>
      <c r="C31" s="5" t="s">
        <v>80</v>
      </c>
      <c r="D31" s="5"/>
      <c r="E31" s="5" t="s">
        <v>82</v>
      </c>
      <c r="F31" s="5" t="s">
        <v>83</v>
      </c>
      <c r="G31" s="8" t="s">
        <v>261</v>
      </c>
      <c r="H31" s="9">
        <v>46316</v>
      </c>
      <c r="I31" s="5" t="s">
        <v>125</v>
      </c>
      <c r="J31" s="5" t="str">
        <f>IF(OR(tblData[[#This Row],[Assurance category]]="Independent assurance",tblData[[#This Row],[Assurance category]]="Verification only"),"Y","N")</f>
        <v>Y</v>
      </c>
      <c r="K31" s="5" t="s">
        <v>87</v>
      </c>
      <c r="L31" s="6" t="s">
        <v>262</v>
      </c>
      <c r="M31" s="6" t="s">
        <v>263</v>
      </c>
      <c r="N31" s="5" t="s">
        <v>127</v>
      </c>
      <c r="O31" s="5" t="s">
        <v>128</v>
      </c>
      <c r="P31" s="5" t="s">
        <v>129</v>
      </c>
      <c r="Q31" s="5" t="s">
        <v>130</v>
      </c>
      <c r="R31" s="5" t="s">
        <v>145</v>
      </c>
      <c r="S31" s="5" t="s">
        <v>87</v>
      </c>
      <c r="T31" s="5" t="s">
        <v>87</v>
      </c>
      <c r="U31" s="5" t="s">
        <v>87</v>
      </c>
      <c r="V31" s="5" t="s">
        <v>87</v>
      </c>
      <c r="W31" s="5" t="s">
        <v>82</v>
      </c>
      <c r="X31" s="5" t="s">
        <v>82</v>
      </c>
      <c r="Y31" s="5" t="s">
        <v>87</v>
      </c>
      <c r="Z31" s="5" t="s">
        <v>87</v>
      </c>
      <c r="AA31" s="5" t="s">
        <v>87</v>
      </c>
      <c r="AB31" s="5" t="s">
        <v>87</v>
      </c>
      <c r="AC31" s="6" t="s">
        <v>264</v>
      </c>
      <c r="AD31" s="5" t="s">
        <v>87</v>
      </c>
      <c r="AE31" s="5" t="s">
        <v>87</v>
      </c>
      <c r="AF31" s="5" t="s">
        <v>82</v>
      </c>
      <c r="AG31" s="5" t="s">
        <v>133</v>
      </c>
      <c r="AH31" s="5" t="s">
        <v>82</v>
      </c>
      <c r="AI31" s="5" t="s">
        <v>82</v>
      </c>
      <c r="AJ31" s="5" t="s">
        <v>82</v>
      </c>
      <c r="AK31" s="5" t="s">
        <v>82</v>
      </c>
      <c r="AL31" s="5" t="s">
        <v>86</v>
      </c>
      <c r="AM31" s="6" t="s">
        <v>265</v>
      </c>
      <c r="AN31" s="5">
        <f>IF(tblData[[#This Row],[External statement]]="N","",IF(tblData[[#This Row],[Independence statement]]="Y",1,0))</f>
        <v>1</v>
      </c>
      <c r="AO31" s="5">
        <f>IF(tblData[[#This Row],[External statement]]="N","",IF(tblData[[#This Row],[QM or ethics reference]]="Y",1,0))</f>
        <v>0</v>
      </c>
      <c r="AP31" s="5">
        <f>IF(tblData[[#This Row],[External statement]]="N","",IF(OR(tblData[[#This Row],[Assurance level]]="Limited",tblData[[#This Row],[Assurance level]]="Reasonable"),1,0))</f>
        <v>0</v>
      </c>
      <c r="AQ31" s="5">
        <f>IF(tblData[[#This Row],[External statement]]="N","",IF(ISNUMBER(SEARCH("ISAE",tblData[[#This Row],[Standard]])),1,0))</f>
        <v>0</v>
      </c>
      <c r="AR31" s="5">
        <f>IF(tblData[[#This Row],[External statement]]="N","",IF(OR(tblData[[#This Row],[Conclusion]]="Unmodified",tblData[[#This Row],[Conclusion]]="Modified"),1,0))</f>
        <v>1</v>
      </c>
      <c r="AS31" s="5">
        <f>IF(tblData[[#This Row],[External statement]]="N","",tblData[[#This Row],[C1 Independence]]+tblData[[#This Row],[C2 Quality management]]+tblData[[#This Row],[C3 Level]]+tblData[[#This Row],[C4 Standard]]+tblData[[#This Row],[C5 Conclusion]])</f>
        <v>2</v>
      </c>
      <c r="AT31" s="5">
        <f>IF(tblData[[#This Row],[External statement]]="N","",IF(AND(tblData[[#This Row],[Scope 1 assured]]="Y",OR(tblData[[#This Row],[Scope 2 assured]]="Y",tblData[[#This Row],[Scope 2 assured]]="N/A")),1,0))</f>
        <v>1</v>
      </c>
      <c r="AU31" s="5">
        <f>IF(tblData[[#This Row],[External statement]]="N","",IF(tblData[[#This Row],[Figures listed]]="Y",1,0))</f>
        <v>0</v>
      </c>
      <c r="AV31" s="5">
        <f>IF(tblData[[#This Row],[External statement]]="N","",tblData[[#This Row],[P1 Scope 1 and 2]]+tblData[[#This Row],[P2 Figures]])</f>
        <v>1</v>
      </c>
      <c r="AW31" s="5">
        <f>IF(tblData[[#This Row],[External statement]]="N","",tblData[[#This Row],[Core score]]+tblData[[#This Row],[PSPK score]])</f>
        <v>3</v>
      </c>
      <c r="AX31" s="5" t="str">
        <f>IF(tblData[[#This Row],[External statement]]="N","",IF(tblData[[#This Row],[Core score]]=5,"Y","N"))</f>
        <v>N</v>
      </c>
    </row>
    <row r="32" spans="1:50" ht="26.4" x14ac:dyDescent="0.3">
      <c r="A32" s="5" t="s">
        <v>266</v>
      </c>
      <c r="B32" s="6" t="s">
        <v>267</v>
      </c>
      <c r="C32" s="5" t="s">
        <v>105</v>
      </c>
      <c r="D32" s="5" t="s">
        <v>268</v>
      </c>
      <c r="E32" s="5" t="s">
        <v>82</v>
      </c>
      <c r="F32" s="5" t="s">
        <v>83</v>
      </c>
      <c r="G32" s="8" t="s">
        <v>269</v>
      </c>
      <c r="H32" s="9">
        <v>46316</v>
      </c>
      <c r="I32" s="5" t="s">
        <v>85</v>
      </c>
      <c r="J32" s="5" t="str">
        <f>IF(OR(tblData[[#This Row],[Assurance category]]="Independent assurance",tblData[[#This Row],[Assurance category]]="Verification only"),"Y","N")</f>
        <v>N</v>
      </c>
      <c r="K32" s="5" t="s">
        <v>82</v>
      </c>
      <c r="L32" s="6" t="s">
        <v>86</v>
      </c>
      <c r="M32" s="6" t="s">
        <v>86</v>
      </c>
      <c r="N32" s="5" t="s">
        <v>86</v>
      </c>
      <c r="O32" s="5" t="s">
        <v>86</v>
      </c>
      <c r="P32" s="5" t="s">
        <v>86</v>
      </c>
      <c r="Q32" s="5" t="s">
        <v>86</v>
      </c>
      <c r="R32" s="5" t="s">
        <v>86</v>
      </c>
      <c r="S32" s="5" t="s">
        <v>87</v>
      </c>
      <c r="T32" s="5" t="s">
        <v>86</v>
      </c>
      <c r="U32" s="5" t="s">
        <v>87</v>
      </c>
      <c r="V32" s="5" t="s">
        <v>86</v>
      </c>
      <c r="W32" s="5" t="s">
        <v>87</v>
      </c>
      <c r="X32" s="5" t="s">
        <v>86</v>
      </c>
      <c r="Y32" s="5" t="s">
        <v>86</v>
      </c>
      <c r="Z32" s="5" t="s">
        <v>86</v>
      </c>
      <c r="AA32" s="5" t="s">
        <v>86</v>
      </c>
      <c r="AB32" s="5" t="s">
        <v>86</v>
      </c>
      <c r="AC32" s="6" t="s">
        <v>86</v>
      </c>
      <c r="AD32" s="5" t="s">
        <v>86</v>
      </c>
      <c r="AE32" s="5" t="s">
        <v>86</v>
      </c>
      <c r="AF32" s="5" t="s">
        <v>86</v>
      </c>
      <c r="AG32" s="5" t="s">
        <v>86</v>
      </c>
      <c r="AH32" s="5" t="s">
        <v>86</v>
      </c>
      <c r="AI32" s="5" t="s">
        <v>86</v>
      </c>
      <c r="AJ32" s="5" t="s">
        <v>86</v>
      </c>
      <c r="AK32" s="5" t="s">
        <v>86</v>
      </c>
      <c r="AL32" s="5" t="s">
        <v>86</v>
      </c>
      <c r="AM32" s="6" t="s">
        <v>270</v>
      </c>
      <c r="AN32" s="5" t="str">
        <f>IF(tblData[[#This Row],[External statement]]="N","",IF(tblData[[#This Row],[Independence statement]]="Y",1,0))</f>
        <v/>
      </c>
      <c r="AO32" s="5" t="str">
        <f>IF(tblData[[#This Row],[External statement]]="N","",IF(tblData[[#This Row],[QM or ethics reference]]="Y",1,0))</f>
        <v/>
      </c>
      <c r="AP32" s="5" t="str">
        <f>IF(tblData[[#This Row],[External statement]]="N","",IF(OR(tblData[[#This Row],[Assurance level]]="Limited",tblData[[#This Row],[Assurance level]]="Reasonable"),1,0))</f>
        <v/>
      </c>
      <c r="AQ32" s="5" t="str">
        <f>IF(tblData[[#This Row],[External statement]]="N","",IF(ISNUMBER(SEARCH("ISAE",tblData[[#This Row],[Standard]])),1,0))</f>
        <v/>
      </c>
      <c r="AR32" s="5" t="str">
        <f>IF(tblData[[#This Row],[External statement]]="N","",IF(OR(tblData[[#This Row],[Conclusion]]="Unmodified",tblData[[#This Row],[Conclusion]]="Modified"),1,0))</f>
        <v/>
      </c>
      <c r="AS32" s="5" t="str">
        <f>IF(tblData[[#This Row],[External statement]]="N","",tblData[[#This Row],[C1 Independence]]+tblData[[#This Row],[C2 Quality management]]+tblData[[#This Row],[C3 Level]]+tblData[[#This Row],[C4 Standard]]+tblData[[#This Row],[C5 Conclusion]])</f>
        <v/>
      </c>
      <c r="AT32" s="5" t="str">
        <f>IF(tblData[[#This Row],[External statement]]="N","",IF(AND(tblData[[#This Row],[Scope 1 assured]]="Y",OR(tblData[[#This Row],[Scope 2 assured]]="Y",tblData[[#This Row],[Scope 2 assured]]="N/A")),1,0))</f>
        <v/>
      </c>
      <c r="AU32" s="5" t="str">
        <f>IF(tblData[[#This Row],[External statement]]="N","",IF(tblData[[#This Row],[Figures listed]]="Y",1,0))</f>
        <v/>
      </c>
      <c r="AV32" s="5" t="str">
        <f>IF(tblData[[#This Row],[External statement]]="N","",tblData[[#This Row],[P1 Scope 1 and 2]]+tblData[[#This Row],[P2 Figures]])</f>
        <v/>
      </c>
      <c r="AW32" s="5" t="str">
        <f>IF(tblData[[#This Row],[External statement]]="N","",tblData[[#This Row],[Core score]]+tblData[[#This Row],[PSPK score]])</f>
        <v/>
      </c>
      <c r="AX32" s="5" t="str">
        <f>IF(tblData[[#This Row],[External statement]]="N","",IF(tblData[[#This Row],[Core score]]=5,"Y","N"))</f>
        <v/>
      </c>
    </row>
    <row r="33" spans="1:50" ht="39.6" x14ac:dyDescent="0.3">
      <c r="A33" s="5" t="s">
        <v>271</v>
      </c>
      <c r="B33" s="6" t="s">
        <v>272</v>
      </c>
      <c r="C33" s="5" t="s">
        <v>227</v>
      </c>
      <c r="D33" s="5"/>
      <c r="E33" s="5" t="s">
        <v>82</v>
      </c>
      <c r="F33" s="5" t="s">
        <v>83</v>
      </c>
      <c r="G33" s="8" t="s">
        <v>273</v>
      </c>
      <c r="H33" s="9">
        <v>46316</v>
      </c>
      <c r="I33" s="5" t="s">
        <v>125</v>
      </c>
      <c r="J33" s="5" t="str">
        <f>IF(OR(tblData[[#This Row],[Assurance category]]="Independent assurance",tblData[[#This Row],[Assurance category]]="Verification only"),"Y","N")</f>
        <v>Y</v>
      </c>
      <c r="K33" s="5" t="s">
        <v>87</v>
      </c>
      <c r="L33" s="6" t="s">
        <v>274</v>
      </c>
      <c r="M33" s="6" t="s">
        <v>275</v>
      </c>
      <c r="N33" s="5" t="s">
        <v>154</v>
      </c>
      <c r="O33" s="5" t="s">
        <v>128</v>
      </c>
      <c r="P33" s="5" t="s">
        <v>129</v>
      </c>
      <c r="Q33" s="5" t="s">
        <v>130</v>
      </c>
      <c r="R33" s="5" t="s">
        <v>131</v>
      </c>
      <c r="S33" s="5" t="s">
        <v>87</v>
      </c>
      <c r="T33" s="5" t="s">
        <v>87</v>
      </c>
      <c r="U33" s="5" t="s">
        <v>87</v>
      </c>
      <c r="V33" s="5" t="s">
        <v>87</v>
      </c>
      <c r="W33" s="5" t="s">
        <v>87</v>
      </c>
      <c r="X33" s="5" t="s">
        <v>87</v>
      </c>
      <c r="Y33" s="5" t="s">
        <v>87</v>
      </c>
      <c r="Z33" s="5" t="s">
        <v>87</v>
      </c>
      <c r="AA33" s="5" t="s">
        <v>87</v>
      </c>
      <c r="AB33" s="5" t="s">
        <v>87</v>
      </c>
      <c r="AC33" s="6" t="s">
        <v>276</v>
      </c>
      <c r="AD33" s="5" t="s">
        <v>87</v>
      </c>
      <c r="AE33" s="5" t="s">
        <v>87</v>
      </c>
      <c r="AF33" s="5" t="s">
        <v>82</v>
      </c>
      <c r="AG33" s="5" t="s">
        <v>133</v>
      </c>
      <c r="AH33" s="5" t="s">
        <v>82</v>
      </c>
      <c r="AI33" s="5" t="s">
        <v>82</v>
      </c>
      <c r="AJ33" s="5" t="s">
        <v>82</v>
      </c>
      <c r="AK33" s="5" t="s">
        <v>82</v>
      </c>
      <c r="AL33" s="5" t="s">
        <v>86</v>
      </c>
      <c r="AM33" s="6" t="s">
        <v>277</v>
      </c>
      <c r="AN33" s="5">
        <f>IF(tblData[[#This Row],[External statement]]="N","",IF(tblData[[#This Row],[Independence statement]]="Y",1,0))</f>
        <v>1</v>
      </c>
      <c r="AO33" s="5">
        <f>IF(tblData[[#This Row],[External statement]]="N","",IF(tblData[[#This Row],[QM or ethics reference]]="Y",1,0))</f>
        <v>0</v>
      </c>
      <c r="AP33" s="5">
        <f>IF(tblData[[#This Row],[External statement]]="N","",IF(OR(tblData[[#This Row],[Assurance level]]="Limited",tblData[[#This Row],[Assurance level]]="Reasonable"),1,0))</f>
        <v>0</v>
      </c>
      <c r="AQ33" s="5">
        <f>IF(tblData[[#This Row],[External statement]]="N","",IF(ISNUMBER(SEARCH("ISAE",tblData[[#This Row],[Standard]])),1,0))</f>
        <v>0</v>
      </c>
      <c r="AR33" s="5">
        <f>IF(tblData[[#This Row],[External statement]]="N","",IF(OR(tblData[[#This Row],[Conclusion]]="Unmodified",tblData[[#This Row],[Conclusion]]="Modified"),1,0))</f>
        <v>1</v>
      </c>
      <c r="AS33" s="5">
        <f>IF(tblData[[#This Row],[External statement]]="N","",tblData[[#This Row],[C1 Independence]]+tblData[[#This Row],[C2 Quality management]]+tblData[[#This Row],[C3 Level]]+tblData[[#This Row],[C4 Standard]]+tblData[[#This Row],[C5 Conclusion]])</f>
        <v>2</v>
      </c>
      <c r="AT33" s="5">
        <f>IF(tblData[[#This Row],[External statement]]="N","",IF(AND(tblData[[#This Row],[Scope 1 assured]]="Y",OR(tblData[[#This Row],[Scope 2 assured]]="Y",tblData[[#This Row],[Scope 2 assured]]="N/A")),1,0))</f>
        <v>1</v>
      </c>
      <c r="AU33" s="5">
        <f>IF(tblData[[#This Row],[External statement]]="N","",IF(tblData[[#This Row],[Figures listed]]="Y",1,0))</f>
        <v>0</v>
      </c>
      <c r="AV33" s="5">
        <f>IF(tblData[[#This Row],[External statement]]="N","",tblData[[#This Row],[P1 Scope 1 and 2]]+tblData[[#This Row],[P2 Figures]])</f>
        <v>1</v>
      </c>
      <c r="AW33" s="5">
        <f>IF(tblData[[#This Row],[External statement]]="N","",tblData[[#This Row],[Core score]]+tblData[[#This Row],[PSPK score]])</f>
        <v>3</v>
      </c>
      <c r="AX33" s="5" t="str">
        <f>IF(tblData[[#This Row],[External statement]]="N","",IF(tblData[[#This Row],[Core score]]=5,"Y","N"))</f>
        <v>N</v>
      </c>
    </row>
    <row r="34" spans="1:50" ht="39.6" x14ac:dyDescent="0.3">
      <c r="A34" s="5" t="s">
        <v>278</v>
      </c>
      <c r="B34" s="6" t="s">
        <v>279</v>
      </c>
      <c r="C34" s="5" t="s">
        <v>80</v>
      </c>
      <c r="D34" s="5"/>
      <c r="E34" s="5" t="s">
        <v>82</v>
      </c>
      <c r="F34" s="5" t="s">
        <v>83</v>
      </c>
      <c r="G34" s="8" t="s">
        <v>280</v>
      </c>
      <c r="H34" s="9">
        <v>46316</v>
      </c>
      <c r="I34" s="5" t="s">
        <v>125</v>
      </c>
      <c r="J34" s="5" t="str">
        <f>IF(OR(tblData[[#This Row],[Assurance category]]="Independent assurance",tblData[[#This Row],[Assurance category]]="Verification only"),"Y","N")</f>
        <v>Y</v>
      </c>
      <c r="K34" s="5" t="s">
        <v>87</v>
      </c>
      <c r="L34" s="6" t="s">
        <v>281</v>
      </c>
      <c r="M34" s="6" t="s">
        <v>282</v>
      </c>
      <c r="N34" s="5" t="s">
        <v>127</v>
      </c>
      <c r="O34" s="5" t="s">
        <v>128</v>
      </c>
      <c r="P34" s="5" t="s">
        <v>129</v>
      </c>
      <c r="Q34" s="5" t="s">
        <v>130</v>
      </c>
      <c r="R34" s="5" t="s">
        <v>145</v>
      </c>
      <c r="S34" s="5" t="s">
        <v>87</v>
      </c>
      <c r="T34" s="5" t="s">
        <v>87</v>
      </c>
      <c r="U34" s="5" t="s">
        <v>87</v>
      </c>
      <c r="V34" s="5" t="s">
        <v>87</v>
      </c>
      <c r="W34" s="5" t="s">
        <v>87</v>
      </c>
      <c r="X34" s="5" t="s">
        <v>87</v>
      </c>
      <c r="Y34" s="5" t="s">
        <v>87</v>
      </c>
      <c r="Z34" s="5" t="s">
        <v>87</v>
      </c>
      <c r="AA34" s="5" t="s">
        <v>87</v>
      </c>
      <c r="AB34" s="5" t="s">
        <v>87</v>
      </c>
      <c r="AC34" s="6" t="s">
        <v>283</v>
      </c>
      <c r="AD34" s="5" t="s">
        <v>87</v>
      </c>
      <c r="AE34" s="5" t="s">
        <v>87</v>
      </c>
      <c r="AF34" s="5" t="s">
        <v>87</v>
      </c>
      <c r="AG34" s="5" t="s">
        <v>133</v>
      </c>
      <c r="AH34" s="5" t="s">
        <v>82</v>
      </c>
      <c r="AI34" s="5" t="s">
        <v>82</v>
      </c>
      <c r="AJ34" s="5" t="s">
        <v>82</v>
      </c>
      <c r="AK34" s="5" t="s">
        <v>82</v>
      </c>
      <c r="AL34" s="5" t="s">
        <v>86</v>
      </c>
      <c r="AM34" s="6" t="s">
        <v>284</v>
      </c>
      <c r="AN34" s="5">
        <f>IF(tblData[[#This Row],[External statement]]="N","",IF(tblData[[#This Row],[Independence statement]]="Y",1,0))</f>
        <v>1</v>
      </c>
      <c r="AO34" s="5">
        <f>IF(tblData[[#This Row],[External statement]]="N","",IF(tblData[[#This Row],[QM or ethics reference]]="Y",1,0))</f>
        <v>1</v>
      </c>
      <c r="AP34" s="5">
        <f>IF(tblData[[#This Row],[External statement]]="N","",IF(OR(tblData[[#This Row],[Assurance level]]="Limited",tblData[[#This Row],[Assurance level]]="Reasonable"),1,0))</f>
        <v>0</v>
      </c>
      <c r="AQ34" s="5">
        <f>IF(tblData[[#This Row],[External statement]]="N","",IF(ISNUMBER(SEARCH("ISAE",tblData[[#This Row],[Standard]])),1,0))</f>
        <v>0</v>
      </c>
      <c r="AR34" s="5">
        <f>IF(tblData[[#This Row],[External statement]]="N","",IF(OR(tblData[[#This Row],[Conclusion]]="Unmodified",tblData[[#This Row],[Conclusion]]="Modified"),1,0))</f>
        <v>1</v>
      </c>
      <c r="AS34" s="5">
        <f>IF(tblData[[#This Row],[External statement]]="N","",tblData[[#This Row],[C1 Independence]]+tblData[[#This Row],[C2 Quality management]]+tblData[[#This Row],[C3 Level]]+tblData[[#This Row],[C4 Standard]]+tblData[[#This Row],[C5 Conclusion]])</f>
        <v>3</v>
      </c>
      <c r="AT34" s="5">
        <f>IF(tblData[[#This Row],[External statement]]="N","",IF(AND(tblData[[#This Row],[Scope 1 assured]]="Y",OR(tblData[[#This Row],[Scope 2 assured]]="Y",tblData[[#This Row],[Scope 2 assured]]="N/A")),1,0))</f>
        <v>1</v>
      </c>
      <c r="AU34" s="5">
        <f>IF(tblData[[#This Row],[External statement]]="N","",IF(tblData[[#This Row],[Figures listed]]="Y",1,0))</f>
        <v>0</v>
      </c>
      <c r="AV34" s="5">
        <f>IF(tblData[[#This Row],[External statement]]="N","",tblData[[#This Row],[P1 Scope 1 and 2]]+tblData[[#This Row],[P2 Figures]])</f>
        <v>1</v>
      </c>
      <c r="AW34" s="5">
        <f>IF(tblData[[#This Row],[External statement]]="N","",tblData[[#This Row],[Core score]]+tblData[[#This Row],[PSPK score]])</f>
        <v>4</v>
      </c>
      <c r="AX34" s="5" t="str">
        <f>IF(tblData[[#This Row],[External statement]]="N","",IF(tblData[[#This Row],[Core score]]=5,"Y","N"))</f>
        <v>N</v>
      </c>
    </row>
    <row r="35" spans="1:50" ht="26.4" x14ac:dyDescent="0.3">
      <c r="A35" s="5" t="s">
        <v>285</v>
      </c>
      <c r="B35" s="6" t="s">
        <v>286</v>
      </c>
      <c r="C35" s="5" t="s">
        <v>117</v>
      </c>
      <c r="D35" s="5"/>
      <c r="E35" s="5" t="s">
        <v>82</v>
      </c>
      <c r="F35" s="5" t="s">
        <v>83</v>
      </c>
      <c r="G35" s="8" t="s">
        <v>287</v>
      </c>
      <c r="H35" s="9">
        <v>46316</v>
      </c>
      <c r="I35" s="5" t="s">
        <v>85</v>
      </c>
      <c r="J35" s="5" t="str">
        <f>IF(OR(tblData[[#This Row],[Assurance category]]="Independent assurance",tblData[[#This Row],[Assurance category]]="Verification only"),"Y","N")</f>
        <v>N</v>
      </c>
      <c r="K35" s="5" t="s">
        <v>82</v>
      </c>
      <c r="L35" s="6" t="s">
        <v>86</v>
      </c>
      <c r="M35" s="6" t="s">
        <v>86</v>
      </c>
      <c r="N35" s="5" t="s">
        <v>86</v>
      </c>
      <c r="O35" s="5" t="s">
        <v>86</v>
      </c>
      <c r="P35" s="5" t="s">
        <v>86</v>
      </c>
      <c r="Q35" s="5" t="s">
        <v>86</v>
      </c>
      <c r="R35" s="5" t="s">
        <v>86</v>
      </c>
      <c r="S35" s="5" t="s">
        <v>87</v>
      </c>
      <c r="T35" s="5" t="s">
        <v>86</v>
      </c>
      <c r="U35" s="5" t="s">
        <v>87</v>
      </c>
      <c r="V35" s="5" t="s">
        <v>86</v>
      </c>
      <c r="W35" s="5" t="s">
        <v>87</v>
      </c>
      <c r="X35" s="5" t="s">
        <v>86</v>
      </c>
      <c r="Y35" s="5" t="s">
        <v>86</v>
      </c>
      <c r="Z35" s="5" t="s">
        <v>86</v>
      </c>
      <c r="AA35" s="5" t="s">
        <v>86</v>
      </c>
      <c r="AB35" s="5" t="s">
        <v>86</v>
      </c>
      <c r="AC35" s="6" t="s">
        <v>86</v>
      </c>
      <c r="AD35" s="5" t="s">
        <v>86</v>
      </c>
      <c r="AE35" s="5" t="s">
        <v>86</v>
      </c>
      <c r="AF35" s="5" t="s">
        <v>86</v>
      </c>
      <c r="AG35" s="5" t="s">
        <v>86</v>
      </c>
      <c r="AH35" s="5" t="s">
        <v>86</v>
      </c>
      <c r="AI35" s="5" t="s">
        <v>86</v>
      </c>
      <c r="AJ35" s="5" t="s">
        <v>86</v>
      </c>
      <c r="AK35" s="5" t="s">
        <v>86</v>
      </c>
      <c r="AL35" s="5" t="s">
        <v>86</v>
      </c>
      <c r="AM35" s="6" t="s">
        <v>288</v>
      </c>
      <c r="AN35" s="5" t="str">
        <f>IF(tblData[[#This Row],[External statement]]="N","",IF(tblData[[#This Row],[Independence statement]]="Y",1,0))</f>
        <v/>
      </c>
      <c r="AO35" s="5" t="str">
        <f>IF(tblData[[#This Row],[External statement]]="N","",IF(tblData[[#This Row],[QM or ethics reference]]="Y",1,0))</f>
        <v/>
      </c>
      <c r="AP35" s="5" t="str">
        <f>IF(tblData[[#This Row],[External statement]]="N","",IF(OR(tblData[[#This Row],[Assurance level]]="Limited",tblData[[#This Row],[Assurance level]]="Reasonable"),1,0))</f>
        <v/>
      </c>
      <c r="AQ35" s="5" t="str">
        <f>IF(tblData[[#This Row],[External statement]]="N","",IF(ISNUMBER(SEARCH("ISAE",tblData[[#This Row],[Standard]])),1,0))</f>
        <v/>
      </c>
      <c r="AR35" s="5" t="str">
        <f>IF(tblData[[#This Row],[External statement]]="N","",IF(OR(tblData[[#This Row],[Conclusion]]="Unmodified",tblData[[#This Row],[Conclusion]]="Modified"),1,0))</f>
        <v/>
      </c>
      <c r="AS35" s="5" t="str">
        <f>IF(tblData[[#This Row],[External statement]]="N","",tblData[[#This Row],[C1 Independence]]+tblData[[#This Row],[C2 Quality management]]+tblData[[#This Row],[C3 Level]]+tblData[[#This Row],[C4 Standard]]+tblData[[#This Row],[C5 Conclusion]])</f>
        <v/>
      </c>
      <c r="AT35" s="5" t="str">
        <f>IF(tblData[[#This Row],[External statement]]="N","",IF(AND(tblData[[#This Row],[Scope 1 assured]]="Y",OR(tblData[[#This Row],[Scope 2 assured]]="Y",tblData[[#This Row],[Scope 2 assured]]="N/A")),1,0))</f>
        <v/>
      </c>
      <c r="AU35" s="5" t="str">
        <f>IF(tblData[[#This Row],[External statement]]="N","",IF(tblData[[#This Row],[Figures listed]]="Y",1,0))</f>
        <v/>
      </c>
      <c r="AV35" s="5" t="str">
        <f>IF(tblData[[#This Row],[External statement]]="N","",tblData[[#This Row],[P1 Scope 1 and 2]]+tblData[[#This Row],[P2 Figures]])</f>
        <v/>
      </c>
      <c r="AW35" s="5" t="str">
        <f>IF(tblData[[#This Row],[External statement]]="N","",tblData[[#This Row],[Core score]]+tblData[[#This Row],[PSPK score]])</f>
        <v/>
      </c>
      <c r="AX35" s="5" t="str">
        <f>IF(tblData[[#This Row],[External statement]]="N","",IF(tblData[[#This Row],[Core score]]=5,"Y","N"))</f>
        <v/>
      </c>
    </row>
    <row r="36" spans="1:50" x14ac:dyDescent="0.3">
      <c r="A36" s="5" t="s">
        <v>289</v>
      </c>
      <c r="B36" s="6" t="s">
        <v>290</v>
      </c>
      <c r="C36" s="5" t="s">
        <v>291</v>
      </c>
      <c r="D36" s="5"/>
      <c r="E36" s="5" t="s">
        <v>82</v>
      </c>
      <c r="F36" s="5" t="s">
        <v>83</v>
      </c>
      <c r="G36" s="8" t="s">
        <v>292</v>
      </c>
      <c r="H36" s="9">
        <v>46316</v>
      </c>
      <c r="I36" s="5" t="s">
        <v>85</v>
      </c>
      <c r="J36" s="5" t="str">
        <f>IF(OR(tblData[[#This Row],[Assurance category]]="Independent assurance",tblData[[#This Row],[Assurance category]]="Verification only"),"Y","N")</f>
        <v>N</v>
      </c>
      <c r="K36" s="5" t="s">
        <v>82</v>
      </c>
      <c r="L36" s="6" t="s">
        <v>86</v>
      </c>
      <c r="M36" s="6" t="s">
        <v>86</v>
      </c>
      <c r="N36" s="5" t="s">
        <v>86</v>
      </c>
      <c r="O36" s="5" t="s">
        <v>86</v>
      </c>
      <c r="P36" s="5" t="s">
        <v>86</v>
      </c>
      <c r="Q36" s="5" t="s">
        <v>86</v>
      </c>
      <c r="R36" s="5" t="s">
        <v>86</v>
      </c>
      <c r="S36" s="5" t="s">
        <v>87</v>
      </c>
      <c r="T36" s="5" t="s">
        <v>86</v>
      </c>
      <c r="U36" s="5" t="s">
        <v>87</v>
      </c>
      <c r="V36" s="5" t="s">
        <v>86</v>
      </c>
      <c r="W36" s="5" t="s">
        <v>87</v>
      </c>
      <c r="X36" s="5" t="s">
        <v>86</v>
      </c>
      <c r="Y36" s="5" t="s">
        <v>86</v>
      </c>
      <c r="Z36" s="5" t="s">
        <v>86</v>
      </c>
      <c r="AA36" s="5" t="s">
        <v>86</v>
      </c>
      <c r="AB36" s="5" t="s">
        <v>86</v>
      </c>
      <c r="AC36" s="6" t="s">
        <v>86</v>
      </c>
      <c r="AD36" s="5" t="s">
        <v>86</v>
      </c>
      <c r="AE36" s="5" t="s">
        <v>86</v>
      </c>
      <c r="AF36" s="5" t="s">
        <v>86</v>
      </c>
      <c r="AG36" s="5" t="s">
        <v>86</v>
      </c>
      <c r="AH36" s="5" t="s">
        <v>86</v>
      </c>
      <c r="AI36" s="5" t="s">
        <v>86</v>
      </c>
      <c r="AJ36" s="5" t="s">
        <v>86</v>
      </c>
      <c r="AK36" s="5" t="s">
        <v>86</v>
      </c>
      <c r="AL36" s="5" t="s">
        <v>86</v>
      </c>
      <c r="AM36" s="6" t="s">
        <v>293</v>
      </c>
      <c r="AN36" s="5" t="str">
        <f>IF(tblData[[#This Row],[External statement]]="N","",IF(tblData[[#This Row],[Independence statement]]="Y",1,0))</f>
        <v/>
      </c>
      <c r="AO36" s="5" t="str">
        <f>IF(tblData[[#This Row],[External statement]]="N","",IF(tblData[[#This Row],[QM or ethics reference]]="Y",1,0))</f>
        <v/>
      </c>
      <c r="AP36" s="5" t="str">
        <f>IF(tblData[[#This Row],[External statement]]="N","",IF(OR(tblData[[#This Row],[Assurance level]]="Limited",tblData[[#This Row],[Assurance level]]="Reasonable"),1,0))</f>
        <v/>
      </c>
      <c r="AQ36" s="5" t="str">
        <f>IF(tblData[[#This Row],[External statement]]="N","",IF(ISNUMBER(SEARCH("ISAE",tblData[[#This Row],[Standard]])),1,0))</f>
        <v/>
      </c>
      <c r="AR36" s="5" t="str">
        <f>IF(tblData[[#This Row],[External statement]]="N","",IF(OR(tblData[[#This Row],[Conclusion]]="Unmodified",tblData[[#This Row],[Conclusion]]="Modified"),1,0))</f>
        <v/>
      </c>
      <c r="AS36" s="5" t="str">
        <f>IF(tblData[[#This Row],[External statement]]="N","",tblData[[#This Row],[C1 Independence]]+tblData[[#This Row],[C2 Quality management]]+tblData[[#This Row],[C3 Level]]+tblData[[#This Row],[C4 Standard]]+tblData[[#This Row],[C5 Conclusion]])</f>
        <v/>
      </c>
      <c r="AT36" s="5" t="str">
        <f>IF(tblData[[#This Row],[External statement]]="N","",IF(AND(tblData[[#This Row],[Scope 1 assured]]="Y",OR(tblData[[#This Row],[Scope 2 assured]]="Y",tblData[[#This Row],[Scope 2 assured]]="N/A")),1,0))</f>
        <v/>
      </c>
      <c r="AU36" s="5" t="str">
        <f>IF(tblData[[#This Row],[External statement]]="N","",IF(tblData[[#This Row],[Figures listed]]="Y",1,0))</f>
        <v/>
      </c>
      <c r="AV36" s="5" t="str">
        <f>IF(tblData[[#This Row],[External statement]]="N","",tblData[[#This Row],[P1 Scope 1 and 2]]+tblData[[#This Row],[P2 Figures]])</f>
        <v/>
      </c>
      <c r="AW36" s="5" t="str">
        <f>IF(tblData[[#This Row],[External statement]]="N","",tblData[[#This Row],[Core score]]+tblData[[#This Row],[PSPK score]])</f>
        <v/>
      </c>
      <c r="AX36" s="5" t="str">
        <f>IF(tblData[[#This Row],[External statement]]="N","",IF(tblData[[#This Row],[Core score]]=5,"Y","N"))</f>
        <v/>
      </c>
    </row>
    <row r="37" spans="1:50" x14ac:dyDescent="0.3">
      <c r="A37" s="5" t="s">
        <v>294</v>
      </c>
      <c r="B37" s="6" t="s">
        <v>295</v>
      </c>
      <c r="C37" s="5" t="s">
        <v>240</v>
      </c>
      <c r="D37" s="5"/>
      <c r="E37" s="5" t="s">
        <v>82</v>
      </c>
      <c r="F37" s="5" t="s">
        <v>83</v>
      </c>
      <c r="G37" s="8" t="s">
        <v>296</v>
      </c>
      <c r="H37" s="9">
        <v>46316</v>
      </c>
      <c r="I37" s="5" t="s">
        <v>85</v>
      </c>
      <c r="J37" s="5" t="str">
        <f>IF(OR(tblData[[#This Row],[Assurance category]]="Independent assurance",tblData[[#This Row],[Assurance category]]="Verification only"),"Y","N")</f>
        <v>N</v>
      </c>
      <c r="K37" s="5" t="s">
        <v>82</v>
      </c>
      <c r="L37" s="6" t="s">
        <v>86</v>
      </c>
      <c r="M37" s="6" t="s">
        <v>86</v>
      </c>
      <c r="N37" s="5" t="s">
        <v>86</v>
      </c>
      <c r="O37" s="5" t="s">
        <v>86</v>
      </c>
      <c r="P37" s="5" t="s">
        <v>86</v>
      </c>
      <c r="Q37" s="5" t="s">
        <v>86</v>
      </c>
      <c r="R37" s="5" t="s">
        <v>86</v>
      </c>
      <c r="S37" s="5" t="s">
        <v>87</v>
      </c>
      <c r="T37" s="5" t="s">
        <v>86</v>
      </c>
      <c r="U37" s="5" t="s">
        <v>87</v>
      </c>
      <c r="V37" s="5" t="s">
        <v>86</v>
      </c>
      <c r="W37" s="5" t="s">
        <v>87</v>
      </c>
      <c r="X37" s="5" t="s">
        <v>86</v>
      </c>
      <c r="Y37" s="5" t="s">
        <v>86</v>
      </c>
      <c r="Z37" s="5" t="s">
        <v>86</v>
      </c>
      <c r="AA37" s="5" t="s">
        <v>86</v>
      </c>
      <c r="AB37" s="5" t="s">
        <v>86</v>
      </c>
      <c r="AC37" s="6" t="s">
        <v>86</v>
      </c>
      <c r="AD37" s="5" t="s">
        <v>86</v>
      </c>
      <c r="AE37" s="5" t="s">
        <v>86</v>
      </c>
      <c r="AF37" s="5" t="s">
        <v>86</v>
      </c>
      <c r="AG37" s="5" t="s">
        <v>86</v>
      </c>
      <c r="AH37" s="5" t="s">
        <v>86</v>
      </c>
      <c r="AI37" s="5" t="s">
        <v>86</v>
      </c>
      <c r="AJ37" s="5" t="s">
        <v>86</v>
      </c>
      <c r="AK37" s="5" t="s">
        <v>86</v>
      </c>
      <c r="AL37" s="5" t="s">
        <v>86</v>
      </c>
      <c r="AM37" s="6" t="s">
        <v>297</v>
      </c>
      <c r="AN37" s="5" t="str">
        <f>IF(tblData[[#This Row],[External statement]]="N","",IF(tblData[[#This Row],[Independence statement]]="Y",1,0))</f>
        <v/>
      </c>
      <c r="AO37" s="5" t="str">
        <f>IF(tblData[[#This Row],[External statement]]="N","",IF(tblData[[#This Row],[QM or ethics reference]]="Y",1,0))</f>
        <v/>
      </c>
      <c r="AP37" s="5" t="str">
        <f>IF(tblData[[#This Row],[External statement]]="N","",IF(OR(tblData[[#This Row],[Assurance level]]="Limited",tblData[[#This Row],[Assurance level]]="Reasonable"),1,0))</f>
        <v/>
      </c>
      <c r="AQ37" s="5" t="str">
        <f>IF(tblData[[#This Row],[External statement]]="N","",IF(ISNUMBER(SEARCH("ISAE",tblData[[#This Row],[Standard]])),1,0))</f>
        <v/>
      </c>
      <c r="AR37" s="5" t="str">
        <f>IF(tblData[[#This Row],[External statement]]="N","",IF(OR(tblData[[#This Row],[Conclusion]]="Unmodified",tblData[[#This Row],[Conclusion]]="Modified"),1,0))</f>
        <v/>
      </c>
      <c r="AS37" s="5" t="str">
        <f>IF(tblData[[#This Row],[External statement]]="N","",tblData[[#This Row],[C1 Independence]]+tblData[[#This Row],[C2 Quality management]]+tblData[[#This Row],[C3 Level]]+tblData[[#This Row],[C4 Standard]]+tblData[[#This Row],[C5 Conclusion]])</f>
        <v/>
      </c>
      <c r="AT37" s="5" t="str">
        <f>IF(tblData[[#This Row],[External statement]]="N","",IF(AND(tblData[[#This Row],[Scope 1 assured]]="Y",OR(tblData[[#This Row],[Scope 2 assured]]="Y",tblData[[#This Row],[Scope 2 assured]]="N/A")),1,0))</f>
        <v/>
      </c>
      <c r="AU37" s="5" t="str">
        <f>IF(tblData[[#This Row],[External statement]]="N","",IF(tblData[[#This Row],[Figures listed]]="Y",1,0))</f>
        <v/>
      </c>
      <c r="AV37" s="5" t="str">
        <f>IF(tblData[[#This Row],[External statement]]="N","",tblData[[#This Row],[P1 Scope 1 and 2]]+tblData[[#This Row],[P2 Figures]])</f>
        <v/>
      </c>
      <c r="AW37" s="5" t="str">
        <f>IF(tblData[[#This Row],[External statement]]="N","",tblData[[#This Row],[Core score]]+tblData[[#This Row],[PSPK score]])</f>
        <v/>
      </c>
      <c r="AX37" s="5" t="str">
        <f>IF(tblData[[#This Row],[External statement]]="N","",IF(tblData[[#This Row],[Core score]]=5,"Y","N"))</f>
        <v/>
      </c>
    </row>
    <row r="38" spans="1:50" ht="26.4" x14ac:dyDescent="0.3">
      <c r="A38" s="5" t="s">
        <v>298</v>
      </c>
      <c r="B38" s="6" t="s">
        <v>299</v>
      </c>
      <c r="C38" s="5" t="s">
        <v>105</v>
      </c>
      <c r="D38" s="5" t="s">
        <v>300</v>
      </c>
      <c r="E38" s="5" t="s">
        <v>82</v>
      </c>
      <c r="F38" s="5" t="s">
        <v>83</v>
      </c>
      <c r="G38" s="8" t="s">
        <v>301</v>
      </c>
      <c r="H38" s="9">
        <v>46316</v>
      </c>
      <c r="I38" s="5" t="s">
        <v>125</v>
      </c>
      <c r="J38" s="5" t="str">
        <f>IF(OR(tblData[[#This Row],[Assurance category]]="Independent assurance",tblData[[#This Row],[Assurance category]]="Verification only"),"Y","N")</f>
        <v>Y</v>
      </c>
      <c r="K38" s="5" t="s">
        <v>87</v>
      </c>
      <c r="L38" s="6" t="s">
        <v>302</v>
      </c>
      <c r="M38" s="6" t="s">
        <v>126</v>
      </c>
      <c r="N38" s="5" t="s">
        <v>127</v>
      </c>
      <c r="O38" s="5" t="s">
        <v>128</v>
      </c>
      <c r="P38" s="5" t="s">
        <v>129</v>
      </c>
      <c r="Q38" s="5" t="s">
        <v>130</v>
      </c>
      <c r="R38" s="5" t="s">
        <v>131</v>
      </c>
      <c r="S38" s="5" t="s">
        <v>87</v>
      </c>
      <c r="T38" s="5" t="s">
        <v>87</v>
      </c>
      <c r="U38" s="5" t="s">
        <v>87</v>
      </c>
      <c r="V38" s="5" t="s">
        <v>87</v>
      </c>
      <c r="W38" s="5" t="s">
        <v>82</v>
      </c>
      <c r="X38" s="5" t="s">
        <v>82</v>
      </c>
      <c r="Y38" s="5" t="s">
        <v>87</v>
      </c>
      <c r="Z38" s="5" t="s">
        <v>87</v>
      </c>
      <c r="AA38" s="5" t="s">
        <v>87</v>
      </c>
      <c r="AB38" s="5" t="s">
        <v>87</v>
      </c>
      <c r="AC38" s="6" t="s">
        <v>303</v>
      </c>
      <c r="AD38" s="5" t="s">
        <v>87</v>
      </c>
      <c r="AE38" s="5" t="s">
        <v>87</v>
      </c>
      <c r="AF38" s="5" t="s">
        <v>82</v>
      </c>
      <c r="AG38" s="5" t="s">
        <v>133</v>
      </c>
      <c r="AH38" s="5" t="s">
        <v>82</v>
      </c>
      <c r="AI38" s="5" t="s">
        <v>82</v>
      </c>
      <c r="AJ38" s="5" t="s">
        <v>82</v>
      </c>
      <c r="AK38" s="5" t="s">
        <v>82</v>
      </c>
      <c r="AL38" s="5" t="s">
        <v>86</v>
      </c>
      <c r="AM38" s="6" t="s">
        <v>304</v>
      </c>
      <c r="AN38" s="5">
        <f>IF(tblData[[#This Row],[External statement]]="N","",IF(tblData[[#This Row],[Independence statement]]="Y",1,0))</f>
        <v>1</v>
      </c>
      <c r="AO38" s="5">
        <f>IF(tblData[[#This Row],[External statement]]="N","",IF(tblData[[#This Row],[QM or ethics reference]]="Y",1,0))</f>
        <v>0</v>
      </c>
      <c r="AP38" s="5">
        <f>IF(tblData[[#This Row],[External statement]]="N","",IF(OR(tblData[[#This Row],[Assurance level]]="Limited",tblData[[#This Row],[Assurance level]]="Reasonable"),1,0))</f>
        <v>0</v>
      </c>
      <c r="AQ38" s="5">
        <f>IF(tblData[[#This Row],[External statement]]="N","",IF(ISNUMBER(SEARCH("ISAE",tblData[[#This Row],[Standard]])),1,0))</f>
        <v>0</v>
      </c>
      <c r="AR38" s="5">
        <f>IF(tblData[[#This Row],[External statement]]="N","",IF(OR(tblData[[#This Row],[Conclusion]]="Unmodified",tblData[[#This Row],[Conclusion]]="Modified"),1,0))</f>
        <v>1</v>
      </c>
      <c r="AS38" s="5">
        <f>IF(tblData[[#This Row],[External statement]]="N","",tblData[[#This Row],[C1 Independence]]+tblData[[#This Row],[C2 Quality management]]+tblData[[#This Row],[C3 Level]]+tblData[[#This Row],[C4 Standard]]+tblData[[#This Row],[C5 Conclusion]])</f>
        <v>2</v>
      </c>
      <c r="AT38" s="5">
        <f>IF(tblData[[#This Row],[External statement]]="N","",IF(AND(tblData[[#This Row],[Scope 1 assured]]="Y",OR(tblData[[#This Row],[Scope 2 assured]]="Y",tblData[[#This Row],[Scope 2 assured]]="N/A")),1,0))</f>
        <v>1</v>
      </c>
      <c r="AU38" s="5">
        <f>IF(tblData[[#This Row],[External statement]]="N","",IF(tblData[[#This Row],[Figures listed]]="Y",1,0))</f>
        <v>0</v>
      </c>
      <c r="AV38" s="5">
        <f>IF(tblData[[#This Row],[External statement]]="N","",tblData[[#This Row],[P1 Scope 1 and 2]]+tblData[[#This Row],[P2 Figures]])</f>
        <v>1</v>
      </c>
      <c r="AW38" s="5">
        <f>IF(tblData[[#This Row],[External statement]]="N","",tblData[[#This Row],[Core score]]+tblData[[#This Row],[PSPK score]])</f>
        <v>3</v>
      </c>
      <c r="AX38" s="5" t="str">
        <f>IF(tblData[[#This Row],[External statement]]="N","",IF(tblData[[#This Row],[Core score]]=5,"Y","N"))</f>
        <v>N</v>
      </c>
    </row>
    <row r="39" spans="1:50" ht="26.4" x14ac:dyDescent="0.3">
      <c r="A39" s="5" t="s">
        <v>305</v>
      </c>
      <c r="B39" s="6" t="s">
        <v>306</v>
      </c>
      <c r="C39" s="5" t="s">
        <v>105</v>
      </c>
      <c r="D39" s="5" t="s">
        <v>300</v>
      </c>
      <c r="E39" s="5" t="s">
        <v>82</v>
      </c>
      <c r="F39" s="5" t="s">
        <v>83</v>
      </c>
      <c r="G39" s="8" t="s">
        <v>307</v>
      </c>
      <c r="H39" s="9">
        <v>46316</v>
      </c>
      <c r="I39" s="5" t="s">
        <v>125</v>
      </c>
      <c r="J39" s="5" t="str">
        <f>IF(OR(tblData[[#This Row],[Assurance category]]="Independent assurance",tblData[[#This Row],[Assurance category]]="Verification only"),"Y","N")</f>
        <v>Y</v>
      </c>
      <c r="K39" s="5" t="s">
        <v>87</v>
      </c>
      <c r="L39" s="6" t="s">
        <v>308</v>
      </c>
      <c r="M39" s="6" t="s">
        <v>126</v>
      </c>
      <c r="N39" s="5" t="s">
        <v>127</v>
      </c>
      <c r="O39" s="5" t="s">
        <v>128</v>
      </c>
      <c r="P39" s="5" t="s">
        <v>129</v>
      </c>
      <c r="Q39" s="5" t="s">
        <v>130</v>
      </c>
      <c r="R39" s="5" t="s">
        <v>131</v>
      </c>
      <c r="S39" s="5" t="s">
        <v>87</v>
      </c>
      <c r="T39" s="5" t="s">
        <v>87</v>
      </c>
      <c r="U39" s="5" t="s">
        <v>87</v>
      </c>
      <c r="V39" s="5" t="s">
        <v>87</v>
      </c>
      <c r="W39" s="5" t="s">
        <v>82</v>
      </c>
      <c r="X39" s="5" t="s">
        <v>82</v>
      </c>
      <c r="Y39" s="5" t="s">
        <v>87</v>
      </c>
      <c r="Z39" s="5" t="s">
        <v>87</v>
      </c>
      <c r="AA39" s="5" t="s">
        <v>87</v>
      </c>
      <c r="AB39" s="5" t="s">
        <v>87</v>
      </c>
      <c r="AC39" s="6" t="s">
        <v>303</v>
      </c>
      <c r="AD39" s="5" t="s">
        <v>87</v>
      </c>
      <c r="AE39" s="5" t="s">
        <v>87</v>
      </c>
      <c r="AF39" s="5" t="s">
        <v>82</v>
      </c>
      <c r="AG39" s="5" t="s">
        <v>133</v>
      </c>
      <c r="AH39" s="5" t="s">
        <v>82</v>
      </c>
      <c r="AI39" s="5" t="s">
        <v>82</v>
      </c>
      <c r="AJ39" s="5" t="s">
        <v>82</v>
      </c>
      <c r="AK39" s="5" t="s">
        <v>82</v>
      </c>
      <c r="AL39" s="5" t="s">
        <v>86</v>
      </c>
      <c r="AM39" s="6" t="s">
        <v>309</v>
      </c>
      <c r="AN39" s="5">
        <f>IF(tblData[[#This Row],[External statement]]="N","",IF(tblData[[#This Row],[Independence statement]]="Y",1,0))</f>
        <v>1</v>
      </c>
      <c r="AO39" s="5">
        <f>IF(tblData[[#This Row],[External statement]]="N","",IF(tblData[[#This Row],[QM or ethics reference]]="Y",1,0))</f>
        <v>0</v>
      </c>
      <c r="AP39" s="5">
        <f>IF(tblData[[#This Row],[External statement]]="N","",IF(OR(tblData[[#This Row],[Assurance level]]="Limited",tblData[[#This Row],[Assurance level]]="Reasonable"),1,0))</f>
        <v>0</v>
      </c>
      <c r="AQ39" s="5">
        <f>IF(tblData[[#This Row],[External statement]]="N","",IF(ISNUMBER(SEARCH("ISAE",tblData[[#This Row],[Standard]])),1,0))</f>
        <v>0</v>
      </c>
      <c r="AR39" s="5">
        <f>IF(tblData[[#This Row],[External statement]]="N","",IF(OR(tblData[[#This Row],[Conclusion]]="Unmodified",tblData[[#This Row],[Conclusion]]="Modified"),1,0))</f>
        <v>1</v>
      </c>
      <c r="AS39" s="5">
        <f>IF(tblData[[#This Row],[External statement]]="N","",tblData[[#This Row],[C1 Independence]]+tblData[[#This Row],[C2 Quality management]]+tblData[[#This Row],[C3 Level]]+tblData[[#This Row],[C4 Standard]]+tblData[[#This Row],[C5 Conclusion]])</f>
        <v>2</v>
      </c>
      <c r="AT39" s="5">
        <f>IF(tblData[[#This Row],[External statement]]="N","",IF(AND(tblData[[#This Row],[Scope 1 assured]]="Y",OR(tblData[[#This Row],[Scope 2 assured]]="Y",tblData[[#This Row],[Scope 2 assured]]="N/A")),1,0))</f>
        <v>1</v>
      </c>
      <c r="AU39" s="5">
        <f>IF(tblData[[#This Row],[External statement]]="N","",IF(tblData[[#This Row],[Figures listed]]="Y",1,0))</f>
        <v>0</v>
      </c>
      <c r="AV39" s="5">
        <f>IF(tblData[[#This Row],[External statement]]="N","",tblData[[#This Row],[P1 Scope 1 and 2]]+tblData[[#This Row],[P2 Figures]])</f>
        <v>1</v>
      </c>
      <c r="AW39" s="5">
        <f>IF(tblData[[#This Row],[External statement]]="N","",tblData[[#This Row],[Core score]]+tblData[[#This Row],[PSPK score]])</f>
        <v>3</v>
      </c>
      <c r="AX39" s="5" t="str">
        <f>IF(tblData[[#This Row],[External statement]]="N","",IF(tblData[[#This Row],[Core score]]=5,"Y","N"))</f>
        <v>N</v>
      </c>
    </row>
    <row r="40" spans="1:50" ht="39.6" x14ac:dyDescent="0.3">
      <c r="A40" s="5" t="s">
        <v>310</v>
      </c>
      <c r="B40" s="6" t="s">
        <v>311</v>
      </c>
      <c r="C40" s="5" t="s">
        <v>80</v>
      </c>
      <c r="D40" s="5"/>
      <c r="E40" s="5" t="s">
        <v>82</v>
      </c>
      <c r="F40" s="5" t="s">
        <v>83</v>
      </c>
      <c r="G40" s="8" t="s">
        <v>312</v>
      </c>
      <c r="H40" s="9">
        <v>46316</v>
      </c>
      <c r="I40" s="5" t="s">
        <v>125</v>
      </c>
      <c r="J40" s="5" t="str">
        <f>IF(OR(tblData[[#This Row],[Assurance category]]="Independent assurance",tblData[[#This Row],[Assurance category]]="Verification only"),"Y","N")</f>
        <v>Y</v>
      </c>
      <c r="K40" s="5" t="s">
        <v>87</v>
      </c>
      <c r="L40" s="6" t="s">
        <v>313</v>
      </c>
      <c r="M40" s="6" t="s">
        <v>235</v>
      </c>
      <c r="N40" s="5" t="s">
        <v>142</v>
      </c>
      <c r="O40" s="5" t="s">
        <v>143</v>
      </c>
      <c r="P40" s="5" t="s">
        <v>86</v>
      </c>
      <c r="Q40" s="5" t="s">
        <v>144</v>
      </c>
      <c r="R40" s="5" t="s">
        <v>145</v>
      </c>
      <c r="S40" s="5" t="s">
        <v>87</v>
      </c>
      <c r="T40" s="5" t="s">
        <v>87</v>
      </c>
      <c r="U40" s="5" t="s">
        <v>87</v>
      </c>
      <c r="V40" s="5" t="s">
        <v>87</v>
      </c>
      <c r="W40" s="5" t="s">
        <v>87</v>
      </c>
      <c r="X40" s="5" t="s">
        <v>87</v>
      </c>
      <c r="Y40" s="5" t="s">
        <v>87</v>
      </c>
      <c r="Z40" s="5" t="s">
        <v>82</v>
      </c>
      <c r="AA40" s="5" t="s">
        <v>82</v>
      </c>
      <c r="AB40" s="5" t="s">
        <v>87</v>
      </c>
      <c r="AC40" s="6" t="s">
        <v>314</v>
      </c>
      <c r="AD40" s="5" t="s">
        <v>87</v>
      </c>
      <c r="AE40" s="5" t="s">
        <v>82</v>
      </c>
      <c r="AF40" s="5" t="s">
        <v>87</v>
      </c>
      <c r="AG40" s="5" t="s">
        <v>133</v>
      </c>
      <c r="AH40" s="5" t="s">
        <v>87</v>
      </c>
      <c r="AI40" s="5" t="s">
        <v>87</v>
      </c>
      <c r="AJ40" s="5" t="s">
        <v>87</v>
      </c>
      <c r="AK40" s="5" t="s">
        <v>87</v>
      </c>
      <c r="AL40" s="5" t="s">
        <v>87</v>
      </c>
      <c r="AM40" s="6" t="s">
        <v>315</v>
      </c>
      <c r="AN40" s="5">
        <f>IF(tblData[[#This Row],[External statement]]="N","",IF(tblData[[#This Row],[Independence statement]]="Y",1,0))</f>
        <v>1</v>
      </c>
      <c r="AO40" s="5">
        <f>IF(tblData[[#This Row],[External statement]]="N","",IF(tblData[[#This Row],[QM or ethics reference]]="Y",1,0))</f>
        <v>1</v>
      </c>
      <c r="AP40" s="5">
        <f>IF(tblData[[#This Row],[External statement]]="N","",IF(OR(tblData[[#This Row],[Assurance level]]="Limited",tblData[[#This Row],[Assurance level]]="Reasonable"),1,0))</f>
        <v>1</v>
      </c>
      <c r="AQ40" s="5">
        <f>IF(tblData[[#This Row],[External statement]]="N","",IF(ISNUMBER(SEARCH("ISAE",tblData[[#This Row],[Standard]])),1,0))</f>
        <v>1</v>
      </c>
      <c r="AR40" s="5">
        <f>IF(tblData[[#This Row],[External statement]]="N","",IF(OR(tblData[[#This Row],[Conclusion]]="Unmodified",tblData[[#This Row],[Conclusion]]="Modified"),1,0))</f>
        <v>1</v>
      </c>
      <c r="AS40" s="5">
        <f>IF(tblData[[#This Row],[External statement]]="N","",tblData[[#This Row],[C1 Independence]]+tblData[[#This Row],[C2 Quality management]]+tblData[[#This Row],[C3 Level]]+tblData[[#This Row],[C4 Standard]]+tblData[[#This Row],[C5 Conclusion]])</f>
        <v>5</v>
      </c>
      <c r="AT40" s="5">
        <f>IF(tblData[[#This Row],[External statement]]="N","",IF(AND(tblData[[#This Row],[Scope 1 assured]]="Y",OR(tblData[[#This Row],[Scope 2 assured]]="Y",tblData[[#This Row],[Scope 2 assured]]="N/A")),1,0))</f>
        <v>1</v>
      </c>
      <c r="AU40" s="5">
        <f>IF(tblData[[#This Row],[External statement]]="N","",IF(tblData[[#This Row],[Figures listed]]="Y",1,0))</f>
        <v>1</v>
      </c>
      <c r="AV40" s="5">
        <f>IF(tblData[[#This Row],[External statement]]="N","",tblData[[#This Row],[P1 Scope 1 and 2]]+tblData[[#This Row],[P2 Figures]])</f>
        <v>2</v>
      </c>
      <c r="AW40" s="5">
        <f>IF(tblData[[#This Row],[External statement]]="N","",tblData[[#This Row],[Core score]]+tblData[[#This Row],[PSPK score]])</f>
        <v>7</v>
      </c>
      <c r="AX40" s="5" t="str">
        <f>IF(tblData[[#This Row],[External statement]]="N","",IF(tblData[[#This Row],[Core score]]=5,"Y","N"))</f>
        <v>Y</v>
      </c>
    </row>
    <row r="41" spans="1:50" ht="39.6" x14ac:dyDescent="0.3">
      <c r="A41" s="5" t="s">
        <v>316</v>
      </c>
      <c r="B41" s="6" t="s">
        <v>317</v>
      </c>
      <c r="C41" s="5" t="s">
        <v>105</v>
      </c>
      <c r="D41" s="5"/>
      <c r="E41" s="5" t="s">
        <v>82</v>
      </c>
      <c r="F41" s="5" t="s">
        <v>83</v>
      </c>
      <c r="G41" s="8" t="s">
        <v>318</v>
      </c>
      <c r="H41" s="9">
        <v>46316</v>
      </c>
      <c r="I41" s="5" t="s">
        <v>125</v>
      </c>
      <c r="J41" s="5" t="str">
        <f>IF(OR(tblData[[#This Row],[Assurance category]]="Independent assurance",tblData[[#This Row],[Assurance category]]="Verification only"),"Y","N")</f>
        <v>Y</v>
      </c>
      <c r="K41" s="5" t="s">
        <v>82</v>
      </c>
      <c r="L41" s="6" t="s">
        <v>86</v>
      </c>
      <c r="M41" s="6" t="s">
        <v>235</v>
      </c>
      <c r="N41" s="5" t="s">
        <v>142</v>
      </c>
      <c r="O41" s="5" t="s">
        <v>197</v>
      </c>
      <c r="P41" s="5" t="s">
        <v>86</v>
      </c>
      <c r="Q41" s="5" t="s">
        <v>144</v>
      </c>
      <c r="R41" s="5" t="s">
        <v>145</v>
      </c>
      <c r="S41" s="5" t="s">
        <v>87</v>
      </c>
      <c r="T41" s="5" t="s">
        <v>87</v>
      </c>
      <c r="U41" s="5" t="s">
        <v>87</v>
      </c>
      <c r="V41" s="5" t="s">
        <v>87</v>
      </c>
      <c r="W41" s="5" t="s">
        <v>87</v>
      </c>
      <c r="X41" s="5" t="s">
        <v>87</v>
      </c>
      <c r="Y41" s="5" t="s">
        <v>87</v>
      </c>
      <c r="Z41" s="5" t="s">
        <v>87</v>
      </c>
      <c r="AA41" s="5" t="s">
        <v>87</v>
      </c>
      <c r="AB41" s="5" t="s">
        <v>87</v>
      </c>
      <c r="AC41" s="6" t="s">
        <v>319</v>
      </c>
      <c r="AD41" s="5" t="s">
        <v>87</v>
      </c>
      <c r="AE41" s="5" t="s">
        <v>82</v>
      </c>
      <c r="AF41" s="5" t="s">
        <v>87</v>
      </c>
      <c r="AG41" s="5" t="s">
        <v>133</v>
      </c>
      <c r="AH41" s="5" t="s">
        <v>87</v>
      </c>
      <c r="AI41" s="5" t="s">
        <v>87</v>
      </c>
      <c r="AJ41" s="5" t="s">
        <v>87</v>
      </c>
      <c r="AK41" s="5" t="s">
        <v>87</v>
      </c>
      <c r="AL41" s="5" t="s">
        <v>87</v>
      </c>
      <c r="AM41" s="6" t="s">
        <v>320</v>
      </c>
      <c r="AN41" s="5">
        <f>IF(tblData[[#This Row],[External statement]]="N","",IF(tblData[[#This Row],[Independence statement]]="Y",1,0))</f>
        <v>1</v>
      </c>
      <c r="AO41" s="5">
        <f>IF(tblData[[#This Row],[External statement]]="N","",IF(tblData[[#This Row],[QM or ethics reference]]="Y",1,0))</f>
        <v>1</v>
      </c>
      <c r="AP41" s="5">
        <f>IF(tblData[[#This Row],[External statement]]="N","",IF(OR(tblData[[#This Row],[Assurance level]]="Limited",tblData[[#This Row],[Assurance level]]="Reasonable"),1,0))</f>
        <v>1</v>
      </c>
      <c r="AQ41" s="5">
        <f>IF(tblData[[#This Row],[External statement]]="N","",IF(ISNUMBER(SEARCH("ISAE",tblData[[#This Row],[Standard]])),1,0))</f>
        <v>1</v>
      </c>
      <c r="AR41" s="5">
        <f>IF(tblData[[#This Row],[External statement]]="N","",IF(OR(tblData[[#This Row],[Conclusion]]="Unmodified",tblData[[#This Row],[Conclusion]]="Modified"),1,0))</f>
        <v>1</v>
      </c>
      <c r="AS41" s="5">
        <f>IF(tblData[[#This Row],[External statement]]="N","",tblData[[#This Row],[C1 Independence]]+tblData[[#This Row],[C2 Quality management]]+tblData[[#This Row],[C3 Level]]+tblData[[#This Row],[C4 Standard]]+tblData[[#This Row],[C5 Conclusion]])</f>
        <v>5</v>
      </c>
      <c r="AT41" s="5">
        <f>IF(tblData[[#This Row],[External statement]]="N","",IF(AND(tblData[[#This Row],[Scope 1 assured]]="Y",OR(tblData[[#This Row],[Scope 2 assured]]="Y",tblData[[#This Row],[Scope 2 assured]]="N/A")),1,0))</f>
        <v>1</v>
      </c>
      <c r="AU41" s="5">
        <f>IF(tblData[[#This Row],[External statement]]="N","",IF(tblData[[#This Row],[Figures listed]]="Y",1,0))</f>
        <v>1</v>
      </c>
      <c r="AV41" s="5">
        <f>IF(tblData[[#This Row],[External statement]]="N","",tblData[[#This Row],[P1 Scope 1 and 2]]+tblData[[#This Row],[P2 Figures]])</f>
        <v>2</v>
      </c>
      <c r="AW41" s="5">
        <f>IF(tblData[[#This Row],[External statement]]="N","",tblData[[#This Row],[Core score]]+tblData[[#This Row],[PSPK score]])</f>
        <v>7</v>
      </c>
      <c r="AX41" s="5" t="str">
        <f>IF(tblData[[#This Row],[External statement]]="N","",IF(tblData[[#This Row],[Core score]]=5,"Y","N"))</f>
        <v>Y</v>
      </c>
    </row>
    <row r="42" spans="1:50" ht="26.4" x14ac:dyDescent="0.3">
      <c r="A42" s="5" t="s">
        <v>321</v>
      </c>
      <c r="B42" s="6" t="s">
        <v>322</v>
      </c>
      <c r="C42" s="5" t="s">
        <v>80</v>
      </c>
      <c r="D42" s="5" t="s">
        <v>323</v>
      </c>
      <c r="E42" s="5" t="s">
        <v>87</v>
      </c>
      <c r="F42" s="5" t="s">
        <v>83</v>
      </c>
      <c r="G42" s="8" t="s">
        <v>324</v>
      </c>
      <c r="H42" s="9">
        <v>46316</v>
      </c>
      <c r="I42" s="5" t="s">
        <v>125</v>
      </c>
      <c r="J42" s="5" t="str">
        <f>IF(OR(tblData[[#This Row],[Assurance category]]="Independent assurance",tblData[[#This Row],[Assurance category]]="Verification only"),"Y","N")</f>
        <v>Y</v>
      </c>
      <c r="K42" s="5" t="s">
        <v>87</v>
      </c>
      <c r="L42" s="6" t="s">
        <v>325</v>
      </c>
      <c r="M42" s="6" t="s">
        <v>153</v>
      </c>
      <c r="N42" s="5" t="s">
        <v>154</v>
      </c>
      <c r="O42" s="5" t="s">
        <v>128</v>
      </c>
      <c r="P42" s="5" t="s">
        <v>129</v>
      </c>
      <c r="Q42" s="5" t="s">
        <v>130</v>
      </c>
      <c r="R42" s="5" t="s">
        <v>145</v>
      </c>
      <c r="S42" s="5" t="s">
        <v>87</v>
      </c>
      <c r="T42" s="5" t="s">
        <v>82</v>
      </c>
      <c r="U42" s="5" t="s">
        <v>87</v>
      </c>
      <c r="V42" s="5" t="s">
        <v>82</v>
      </c>
      <c r="W42" s="5" t="s">
        <v>87</v>
      </c>
      <c r="X42" s="5" t="s">
        <v>82</v>
      </c>
      <c r="Y42" s="5" t="s">
        <v>82</v>
      </c>
      <c r="Z42" s="5" t="s">
        <v>82</v>
      </c>
      <c r="AA42" s="5" t="s">
        <v>82</v>
      </c>
      <c r="AB42" s="5" t="s">
        <v>87</v>
      </c>
      <c r="AC42" s="6" t="s">
        <v>326</v>
      </c>
      <c r="AD42" s="5" t="s">
        <v>87</v>
      </c>
      <c r="AE42" s="5" t="s">
        <v>87</v>
      </c>
      <c r="AF42" s="5" t="s">
        <v>113</v>
      </c>
      <c r="AG42" s="5" t="s">
        <v>133</v>
      </c>
      <c r="AH42" s="5" t="s">
        <v>82</v>
      </c>
      <c r="AI42" s="5" t="s">
        <v>82</v>
      </c>
      <c r="AJ42" s="5" t="s">
        <v>82</v>
      </c>
      <c r="AK42" s="5" t="s">
        <v>82</v>
      </c>
      <c r="AL42" s="5" t="s">
        <v>86</v>
      </c>
      <c r="AM42" s="6" t="s">
        <v>327</v>
      </c>
      <c r="AN42" s="5">
        <f>IF(tblData[[#This Row],[External statement]]="N","",IF(tblData[[#This Row],[Independence statement]]="Y",1,0))</f>
        <v>1</v>
      </c>
      <c r="AO42" s="5">
        <f>IF(tblData[[#This Row],[External statement]]="N","",IF(tblData[[#This Row],[QM or ethics reference]]="Y",1,0))</f>
        <v>0</v>
      </c>
      <c r="AP42" s="5">
        <f>IF(tblData[[#This Row],[External statement]]="N","",IF(OR(tblData[[#This Row],[Assurance level]]="Limited",tblData[[#This Row],[Assurance level]]="Reasonable"),1,0))</f>
        <v>0</v>
      </c>
      <c r="AQ42" s="5">
        <f>IF(tblData[[#This Row],[External statement]]="N","",IF(ISNUMBER(SEARCH("ISAE",tblData[[#This Row],[Standard]])),1,0))</f>
        <v>0</v>
      </c>
      <c r="AR42" s="5">
        <f>IF(tblData[[#This Row],[External statement]]="N","",IF(OR(tblData[[#This Row],[Conclusion]]="Unmodified",tblData[[#This Row],[Conclusion]]="Modified"),1,0))</f>
        <v>1</v>
      </c>
      <c r="AS42" s="5">
        <f>IF(tblData[[#This Row],[External statement]]="N","",tblData[[#This Row],[C1 Independence]]+tblData[[#This Row],[C2 Quality management]]+tblData[[#This Row],[C3 Level]]+tblData[[#This Row],[C4 Standard]]+tblData[[#This Row],[C5 Conclusion]])</f>
        <v>2</v>
      </c>
      <c r="AT42" s="5">
        <f>IF(tblData[[#This Row],[External statement]]="N","",IF(AND(tblData[[#This Row],[Scope 1 assured]]="Y",OR(tblData[[#This Row],[Scope 2 assured]]="Y",tblData[[#This Row],[Scope 2 assured]]="N/A")),1,0))</f>
        <v>0</v>
      </c>
      <c r="AU42" s="5">
        <f>IF(tblData[[#This Row],[External statement]]="N","",IF(tblData[[#This Row],[Figures listed]]="Y",1,0))</f>
        <v>0</v>
      </c>
      <c r="AV42" s="5">
        <f>IF(tblData[[#This Row],[External statement]]="N","",tblData[[#This Row],[P1 Scope 1 and 2]]+tblData[[#This Row],[P2 Figures]])</f>
        <v>0</v>
      </c>
      <c r="AW42" s="5">
        <f>IF(tblData[[#This Row],[External statement]]="N","",tblData[[#This Row],[Core score]]+tblData[[#This Row],[PSPK score]])</f>
        <v>2</v>
      </c>
      <c r="AX42" s="5" t="str">
        <f>IF(tblData[[#This Row],[External statement]]="N","",IF(tblData[[#This Row],[Core score]]=5,"Y","N"))</f>
        <v>N</v>
      </c>
    </row>
    <row r="43" spans="1:50" ht="26.4" x14ac:dyDescent="0.3">
      <c r="A43" s="5" t="s">
        <v>328</v>
      </c>
      <c r="B43" s="6" t="s">
        <v>329</v>
      </c>
      <c r="C43" s="5" t="s">
        <v>227</v>
      </c>
      <c r="D43" s="5" t="s">
        <v>323</v>
      </c>
      <c r="E43" s="5" t="s">
        <v>87</v>
      </c>
      <c r="F43" s="5" t="s">
        <v>83</v>
      </c>
      <c r="G43" s="8" t="s">
        <v>330</v>
      </c>
      <c r="H43" s="9">
        <v>46316</v>
      </c>
      <c r="I43" s="5" t="s">
        <v>125</v>
      </c>
      <c r="J43" s="5" t="str">
        <f>IF(OR(tblData[[#This Row],[Assurance category]]="Independent assurance",tblData[[#This Row],[Assurance category]]="Verification only"),"Y","N")</f>
        <v>Y</v>
      </c>
      <c r="K43" s="5" t="s">
        <v>87</v>
      </c>
      <c r="L43" s="6" t="s">
        <v>331</v>
      </c>
      <c r="M43" s="6" t="s">
        <v>153</v>
      </c>
      <c r="N43" s="5" t="s">
        <v>154</v>
      </c>
      <c r="O43" s="5" t="s">
        <v>128</v>
      </c>
      <c r="P43" s="5" t="s">
        <v>129</v>
      </c>
      <c r="Q43" s="5" t="s">
        <v>130</v>
      </c>
      <c r="R43" s="5" t="s">
        <v>145</v>
      </c>
      <c r="S43" s="5" t="s">
        <v>87</v>
      </c>
      <c r="T43" s="5" t="s">
        <v>87</v>
      </c>
      <c r="U43" s="5" t="s">
        <v>87</v>
      </c>
      <c r="V43" s="5" t="s">
        <v>87</v>
      </c>
      <c r="W43" s="5" t="s">
        <v>87</v>
      </c>
      <c r="X43" s="5" t="s">
        <v>87</v>
      </c>
      <c r="Y43" s="5" t="s">
        <v>82</v>
      </c>
      <c r="Z43" s="5" t="s">
        <v>82</v>
      </c>
      <c r="AA43" s="5" t="s">
        <v>82</v>
      </c>
      <c r="AB43" s="5" t="s">
        <v>87</v>
      </c>
      <c r="AC43" s="6" t="s">
        <v>332</v>
      </c>
      <c r="AD43" s="5" t="s">
        <v>87</v>
      </c>
      <c r="AE43" s="5" t="s">
        <v>87</v>
      </c>
      <c r="AF43" s="5" t="s">
        <v>113</v>
      </c>
      <c r="AG43" s="5" t="s">
        <v>133</v>
      </c>
      <c r="AH43" s="5" t="s">
        <v>82</v>
      </c>
      <c r="AI43" s="5" t="s">
        <v>82</v>
      </c>
      <c r="AJ43" s="5" t="s">
        <v>82</v>
      </c>
      <c r="AK43" s="5" t="s">
        <v>82</v>
      </c>
      <c r="AL43" s="5" t="s">
        <v>86</v>
      </c>
      <c r="AM43" s="6" t="s">
        <v>333</v>
      </c>
      <c r="AN43" s="5">
        <f>IF(tblData[[#This Row],[External statement]]="N","",IF(tblData[[#This Row],[Independence statement]]="Y",1,0))</f>
        <v>1</v>
      </c>
      <c r="AO43" s="5">
        <f>IF(tblData[[#This Row],[External statement]]="N","",IF(tblData[[#This Row],[QM or ethics reference]]="Y",1,0))</f>
        <v>0</v>
      </c>
      <c r="AP43" s="5">
        <f>IF(tblData[[#This Row],[External statement]]="N","",IF(OR(tblData[[#This Row],[Assurance level]]="Limited",tblData[[#This Row],[Assurance level]]="Reasonable"),1,0))</f>
        <v>0</v>
      </c>
      <c r="AQ43" s="5">
        <f>IF(tblData[[#This Row],[External statement]]="N","",IF(ISNUMBER(SEARCH("ISAE",tblData[[#This Row],[Standard]])),1,0))</f>
        <v>0</v>
      </c>
      <c r="AR43" s="5">
        <f>IF(tblData[[#This Row],[External statement]]="N","",IF(OR(tblData[[#This Row],[Conclusion]]="Unmodified",tblData[[#This Row],[Conclusion]]="Modified"),1,0))</f>
        <v>1</v>
      </c>
      <c r="AS43" s="5">
        <f>IF(tblData[[#This Row],[External statement]]="N","",tblData[[#This Row],[C1 Independence]]+tblData[[#This Row],[C2 Quality management]]+tblData[[#This Row],[C3 Level]]+tblData[[#This Row],[C4 Standard]]+tblData[[#This Row],[C5 Conclusion]])</f>
        <v>2</v>
      </c>
      <c r="AT43" s="5">
        <f>IF(tblData[[#This Row],[External statement]]="N","",IF(AND(tblData[[#This Row],[Scope 1 assured]]="Y",OR(tblData[[#This Row],[Scope 2 assured]]="Y",tblData[[#This Row],[Scope 2 assured]]="N/A")),1,0))</f>
        <v>1</v>
      </c>
      <c r="AU43" s="5">
        <f>IF(tblData[[#This Row],[External statement]]="N","",IF(tblData[[#This Row],[Figures listed]]="Y",1,0))</f>
        <v>0</v>
      </c>
      <c r="AV43" s="5">
        <f>IF(tblData[[#This Row],[External statement]]="N","",tblData[[#This Row],[P1 Scope 1 and 2]]+tblData[[#This Row],[P2 Figures]])</f>
        <v>1</v>
      </c>
      <c r="AW43" s="5">
        <f>IF(tblData[[#This Row],[External statement]]="N","",tblData[[#This Row],[Core score]]+tblData[[#This Row],[PSPK score]])</f>
        <v>3</v>
      </c>
      <c r="AX43" s="5" t="str">
        <f>IF(tblData[[#This Row],[External statement]]="N","",IF(tblData[[#This Row],[Core score]]=5,"Y","N"))</f>
        <v>N</v>
      </c>
    </row>
    <row r="44" spans="1:50" ht="26.4" x14ac:dyDescent="0.3">
      <c r="A44" s="5" t="s">
        <v>334</v>
      </c>
      <c r="B44" s="6" t="s">
        <v>335</v>
      </c>
      <c r="C44" s="5" t="s">
        <v>80</v>
      </c>
      <c r="D44" s="5" t="s">
        <v>123</v>
      </c>
      <c r="E44" s="5" t="s">
        <v>87</v>
      </c>
      <c r="F44" s="5" t="s">
        <v>83</v>
      </c>
      <c r="G44" s="8" t="s">
        <v>336</v>
      </c>
      <c r="H44" s="9">
        <v>46316</v>
      </c>
      <c r="I44" s="5" t="s">
        <v>125</v>
      </c>
      <c r="J44" s="5" t="str">
        <f>IF(OR(tblData[[#This Row],[Assurance category]]="Independent assurance",tblData[[#This Row],[Assurance category]]="Verification only"),"Y","N")</f>
        <v>Y</v>
      </c>
      <c r="K44" s="5" t="s">
        <v>87</v>
      </c>
      <c r="L44" s="6" t="s">
        <v>337</v>
      </c>
      <c r="M44" s="6" t="s">
        <v>195</v>
      </c>
      <c r="N44" s="5" t="s">
        <v>196</v>
      </c>
      <c r="O44" s="5" t="s">
        <v>182</v>
      </c>
      <c r="P44" s="5" t="s">
        <v>129</v>
      </c>
      <c r="Q44" s="5" t="s">
        <v>130</v>
      </c>
      <c r="R44" s="5" t="s">
        <v>145</v>
      </c>
      <c r="S44" s="5" t="s">
        <v>87</v>
      </c>
      <c r="T44" s="5" t="s">
        <v>87</v>
      </c>
      <c r="U44" s="5" t="s">
        <v>87</v>
      </c>
      <c r="V44" s="5" t="s">
        <v>87</v>
      </c>
      <c r="W44" s="5" t="s">
        <v>87</v>
      </c>
      <c r="X44" s="5" t="s">
        <v>87</v>
      </c>
      <c r="Y44" s="5" t="s">
        <v>87</v>
      </c>
      <c r="Z44" s="5" t="s">
        <v>87</v>
      </c>
      <c r="AA44" s="5" t="s">
        <v>87</v>
      </c>
      <c r="AB44" s="5" t="s">
        <v>87</v>
      </c>
      <c r="AC44" s="6" t="s">
        <v>338</v>
      </c>
      <c r="AD44" s="5" t="s">
        <v>87</v>
      </c>
      <c r="AE44" s="5" t="s">
        <v>87</v>
      </c>
      <c r="AF44" s="5" t="s">
        <v>82</v>
      </c>
      <c r="AG44" s="5" t="s">
        <v>133</v>
      </c>
      <c r="AH44" s="5" t="s">
        <v>82</v>
      </c>
      <c r="AI44" s="5" t="s">
        <v>82</v>
      </c>
      <c r="AJ44" s="5" t="s">
        <v>82</v>
      </c>
      <c r="AK44" s="5" t="s">
        <v>82</v>
      </c>
      <c r="AL44" s="5" t="s">
        <v>86</v>
      </c>
      <c r="AM44" s="6" t="s">
        <v>339</v>
      </c>
      <c r="AN44" s="5">
        <f>IF(tblData[[#This Row],[External statement]]="N","",IF(tblData[[#This Row],[Independence statement]]="Y",1,0))</f>
        <v>1</v>
      </c>
      <c r="AO44" s="5">
        <f>IF(tblData[[#This Row],[External statement]]="N","",IF(tblData[[#This Row],[QM or ethics reference]]="Y",1,0))</f>
        <v>0</v>
      </c>
      <c r="AP44" s="5">
        <f>IF(tblData[[#This Row],[External statement]]="N","",IF(OR(tblData[[#This Row],[Assurance level]]="Limited",tblData[[#This Row],[Assurance level]]="Reasonable"),1,0))</f>
        <v>0</v>
      </c>
      <c r="AQ44" s="5">
        <f>IF(tblData[[#This Row],[External statement]]="N","",IF(ISNUMBER(SEARCH("ISAE",tblData[[#This Row],[Standard]])),1,0))</f>
        <v>1</v>
      </c>
      <c r="AR44" s="5">
        <f>IF(tblData[[#This Row],[External statement]]="N","",IF(OR(tblData[[#This Row],[Conclusion]]="Unmodified",tblData[[#This Row],[Conclusion]]="Modified"),1,0))</f>
        <v>1</v>
      </c>
      <c r="AS44" s="5">
        <f>IF(tblData[[#This Row],[External statement]]="N","",tblData[[#This Row],[C1 Independence]]+tblData[[#This Row],[C2 Quality management]]+tblData[[#This Row],[C3 Level]]+tblData[[#This Row],[C4 Standard]]+tblData[[#This Row],[C5 Conclusion]])</f>
        <v>3</v>
      </c>
      <c r="AT44" s="5">
        <f>IF(tblData[[#This Row],[External statement]]="N","",IF(AND(tblData[[#This Row],[Scope 1 assured]]="Y",OR(tblData[[#This Row],[Scope 2 assured]]="Y",tblData[[#This Row],[Scope 2 assured]]="N/A")),1,0))</f>
        <v>1</v>
      </c>
      <c r="AU44" s="5">
        <f>IF(tblData[[#This Row],[External statement]]="N","",IF(tblData[[#This Row],[Figures listed]]="Y",1,0))</f>
        <v>0</v>
      </c>
      <c r="AV44" s="5">
        <f>IF(tblData[[#This Row],[External statement]]="N","",tblData[[#This Row],[P1 Scope 1 and 2]]+tblData[[#This Row],[P2 Figures]])</f>
        <v>1</v>
      </c>
      <c r="AW44" s="5">
        <f>IF(tblData[[#This Row],[External statement]]="N","",tblData[[#This Row],[Core score]]+tblData[[#This Row],[PSPK score]])</f>
        <v>4</v>
      </c>
      <c r="AX44" s="5" t="str">
        <f>IF(tblData[[#This Row],[External statement]]="N","",IF(tblData[[#This Row],[Core score]]=5,"Y","N"))</f>
        <v>N</v>
      </c>
    </row>
    <row r="45" spans="1:50" x14ac:dyDescent="0.3">
      <c r="A45" s="5" t="s">
        <v>340</v>
      </c>
      <c r="B45" s="6" t="s">
        <v>341</v>
      </c>
      <c r="C45" s="5" t="s">
        <v>240</v>
      </c>
      <c r="D45" s="5" t="s">
        <v>216</v>
      </c>
      <c r="E45" s="5" t="s">
        <v>82</v>
      </c>
      <c r="F45" s="5" t="s">
        <v>83</v>
      </c>
      <c r="G45" s="8" t="s">
        <v>342</v>
      </c>
      <c r="H45" s="9">
        <v>46316</v>
      </c>
      <c r="I45" s="5" t="s">
        <v>85</v>
      </c>
      <c r="J45" s="5" t="str">
        <f>IF(OR(tblData[[#This Row],[Assurance category]]="Independent assurance",tblData[[#This Row],[Assurance category]]="Verification only"),"Y","N")</f>
        <v>N</v>
      </c>
      <c r="K45" s="5" t="s">
        <v>82</v>
      </c>
      <c r="L45" s="6" t="s">
        <v>86</v>
      </c>
      <c r="M45" s="6" t="s">
        <v>86</v>
      </c>
      <c r="N45" s="5" t="s">
        <v>86</v>
      </c>
      <c r="O45" s="5" t="s">
        <v>86</v>
      </c>
      <c r="P45" s="5" t="s">
        <v>86</v>
      </c>
      <c r="Q45" s="5" t="s">
        <v>86</v>
      </c>
      <c r="R45" s="5" t="s">
        <v>86</v>
      </c>
      <c r="S45" s="5" t="s">
        <v>87</v>
      </c>
      <c r="T45" s="5" t="s">
        <v>86</v>
      </c>
      <c r="U45" s="5" t="s">
        <v>87</v>
      </c>
      <c r="V45" s="5" t="s">
        <v>86</v>
      </c>
      <c r="W45" s="5" t="s">
        <v>82</v>
      </c>
      <c r="X45" s="5" t="s">
        <v>86</v>
      </c>
      <c r="Y45" s="5" t="s">
        <v>86</v>
      </c>
      <c r="Z45" s="5" t="s">
        <v>86</v>
      </c>
      <c r="AA45" s="5" t="s">
        <v>86</v>
      </c>
      <c r="AB45" s="5" t="s">
        <v>86</v>
      </c>
      <c r="AC45" s="6" t="s">
        <v>86</v>
      </c>
      <c r="AD45" s="5" t="s">
        <v>86</v>
      </c>
      <c r="AE45" s="5" t="s">
        <v>86</v>
      </c>
      <c r="AF45" s="5" t="s">
        <v>86</v>
      </c>
      <c r="AG45" s="5" t="s">
        <v>86</v>
      </c>
      <c r="AH45" s="5" t="s">
        <v>86</v>
      </c>
      <c r="AI45" s="5" t="s">
        <v>86</v>
      </c>
      <c r="AJ45" s="5" t="s">
        <v>86</v>
      </c>
      <c r="AK45" s="5" t="s">
        <v>86</v>
      </c>
      <c r="AL45" s="5" t="s">
        <v>86</v>
      </c>
      <c r="AM45" s="6" t="s">
        <v>343</v>
      </c>
      <c r="AN45" s="5" t="str">
        <f>IF(tblData[[#This Row],[External statement]]="N","",IF(tblData[[#This Row],[Independence statement]]="Y",1,0))</f>
        <v/>
      </c>
      <c r="AO45" s="5" t="str">
        <f>IF(tblData[[#This Row],[External statement]]="N","",IF(tblData[[#This Row],[QM or ethics reference]]="Y",1,0))</f>
        <v/>
      </c>
      <c r="AP45" s="5" t="str">
        <f>IF(tblData[[#This Row],[External statement]]="N","",IF(OR(tblData[[#This Row],[Assurance level]]="Limited",tblData[[#This Row],[Assurance level]]="Reasonable"),1,0))</f>
        <v/>
      </c>
      <c r="AQ45" s="5" t="str">
        <f>IF(tblData[[#This Row],[External statement]]="N","",IF(ISNUMBER(SEARCH("ISAE",tblData[[#This Row],[Standard]])),1,0))</f>
        <v/>
      </c>
      <c r="AR45" s="5" t="str">
        <f>IF(tblData[[#This Row],[External statement]]="N","",IF(OR(tblData[[#This Row],[Conclusion]]="Unmodified",tblData[[#This Row],[Conclusion]]="Modified"),1,0))</f>
        <v/>
      </c>
      <c r="AS45" s="5" t="str">
        <f>IF(tblData[[#This Row],[External statement]]="N","",tblData[[#This Row],[C1 Independence]]+tblData[[#This Row],[C2 Quality management]]+tblData[[#This Row],[C3 Level]]+tblData[[#This Row],[C4 Standard]]+tblData[[#This Row],[C5 Conclusion]])</f>
        <v/>
      </c>
      <c r="AT45" s="5" t="str">
        <f>IF(tblData[[#This Row],[External statement]]="N","",IF(AND(tblData[[#This Row],[Scope 1 assured]]="Y",OR(tblData[[#This Row],[Scope 2 assured]]="Y",tblData[[#This Row],[Scope 2 assured]]="N/A")),1,0))</f>
        <v/>
      </c>
      <c r="AU45" s="5" t="str">
        <f>IF(tblData[[#This Row],[External statement]]="N","",IF(tblData[[#This Row],[Figures listed]]="Y",1,0))</f>
        <v/>
      </c>
      <c r="AV45" s="5" t="str">
        <f>IF(tblData[[#This Row],[External statement]]="N","",tblData[[#This Row],[P1 Scope 1 and 2]]+tblData[[#This Row],[P2 Figures]])</f>
        <v/>
      </c>
      <c r="AW45" s="5" t="str">
        <f>IF(tblData[[#This Row],[External statement]]="N","",tblData[[#This Row],[Core score]]+tblData[[#This Row],[PSPK score]])</f>
        <v/>
      </c>
      <c r="AX45" s="5" t="str">
        <f>IF(tblData[[#This Row],[External statement]]="N","",IF(tblData[[#This Row],[Core score]]=5,"Y","N"))</f>
        <v/>
      </c>
    </row>
    <row r="46" spans="1:50" ht="39.6" x14ac:dyDescent="0.3">
      <c r="A46" s="5" t="s">
        <v>344</v>
      </c>
      <c r="B46" s="6" t="s">
        <v>345</v>
      </c>
      <c r="C46" s="5" t="s">
        <v>227</v>
      </c>
      <c r="D46" s="5"/>
      <c r="E46" s="5" t="s">
        <v>87</v>
      </c>
      <c r="F46" s="5" t="s">
        <v>83</v>
      </c>
      <c r="G46" s="8" t="s">
        <v>346</v>
      </c>
      <c r="H46" s="9">
        <v>46316</v>
      </c>
      <c r="I46" s="5" t="s">
        <v>125</v>
      </c>
      <c r="J46" s="5" t="str">
        <f>IF(OR(tblData[[#This Row],[Assurance category]]="Independent assurance",tblData[[#This Row],[Assurance category]]="Verification only"),"Y","N")</f>
        <v>Y</v>
      </c>
      <c r="K46" s="5" t="s">
        <v>87</v>
      </c>
      <c r="L46" s="6" t="s">
        <v>347</v>
      </c>
      <c r="M46" s="6" t="s">
        <v>126</v>
      </c>
      <c r="N46" s="5" t="s">
        <v>127</v>
      </c>
      <c r="O46" s="5" t="s">
        <v>128</v>
      </c>
      <c r="P46" s="5" t="s">
        <v>129</v>
      </c>
      <c r="Q46" s="5" t="s">
        <v>130</v>
      </c>
      <c r="R46" s="5" t="s">
        <v>131</v>
      </c>
      <c r="S46" s="5" t="s">
        <v>87</v>
      </c>
      <c r="T46" s="5" t="s">
        <v>87</v>
      </c>
      <c r="U46" s="5" t="s">
        <v>87</v>
      </c>
      <c r="V46" s="5" t="s">
        <v>87</v>
      </c>
      <c r="W46" s="5" t="s">
        <v>87</v>
      </c>
      <c r="X46" s="5" t="s">
        <v>87</v>
      </c>
      <c r="Y46" s="5" t="s">
        <v>87</v>
      </c>
      <c r="Z46" s="5" t="s">
        <v>82</v>
      </c>
      <c r="AA46" s="5" t="s">
        <v>82</v>
      </c>
      <c r="AB46" s="5" t="s">
        <v>87</v>
      </c>
      <c r="AC46" s="6" t="s">
        <v>348</v>
      </c>
      <c r="AD46" s="5" t="s">
        <v>87</v>
      </c>
      <c r="AE46" s="5" t="s">
        <v>87</v>
      </c>
      <c r="AF46" s="5" t="s">
        <v>82</v>
      </c>
      <c r="AG46" s="5" t="s">
        <v>133</v>
      </c>
      <c r="AH46" s="5" t="s">
        <v>87</v>
      </c>
      <c r="AI46" s="5" t="s">
        <v>87</v>
      </c>
      <c r="AJ46" s="5" t="s">
        <v>87</v>
      </c>
      <c r="AK46" s="5" t="s">
        <v>87</v>
      </c>
      <c r="AL46" s="5" t="s">
        <v>87</v>
      </c>
      <c r="AM46" s="6" t="s">
        <v>349</v>
      </c>
      <c r="AN46" s="5">
        <f>IF(tblData[[#This Row],[External statement]]="N","",IF(tblData[[#This Row],[Independence statement]]="Y",1,0))</f>
        <v>1</v>
      </c>
      <c r="AO46" s="5">
        <f>IF(tblData[[#This Row],[External statement]]="N","",IF(tblData[[#This Row],[QM or ethics reference]]="Y",1,0))</f>
        <v>0</v>
      </c>
      <c r="AP46" s="5">
        <f>IF(tblData[[#This Row],[External statement]]="N","",IF(OR(tblData[[#This Row],[Assurance level]]="Limited",tblData[[#This Row],[Assurance level]]="Reasonable"),1,0))</f>
        <v>0</v>
      </c>
      <c r="AQ46" s="5">
        <f>IF(tblData[[#This Row],[External statement]]="N","",IF(ISNUMBER(SEARCH("ISAE",tblData[[#This Row],[Standard]])),1,0))</f>
        <v>0</v>
      </c>
      <c r="AR46" s="5">
        <f>IF(tblData[[#This Row],[External statement]]="N","",IF(OR(tblData[[#This Row],[Conclusion]]="Unmodified",tblData[[#This Row],[Conclusion]]="Modified"),1,0))</f>
        <v>1</v>
      </c>
      <c r="AS46" s="5">
        <f>IF(tblData[[#This Row],[External statement]]="N","",tblData[[#This Row],[C1 Independence]]+tblData[[#This Row],[C2 Quality management]]+tblData[[#This Row],[C3 Level]]+tblData[[#This Row],[C4 Standard]]+tblData[[#This Row],[C5 Conclusion]])</f>
        <v>2</v>
      </c>
      <c r="AT46" s="5">
        <f>IF(tblData[[#This Row],[External statement]]="N","",IF(AND(tblData[[#This Row],[Scope 1 assured]]="Y",OR(tblData[[#This Row],[Scope 2 assured]]="Y",tblData[[#This Row],[Scope 2 assured]]="N/A")),1,0))</f>
        <v>1</v>
      </c>
      <c r="AU46" s="5">
        <f>IF(tblData[[#This Row],[External statement]]="N","",IF(tblData[[#This Row],[Figures listed]]="Y",1,0))</f>
        <v>1</v>
      </c>
      <c r="AV46" s="5">
        <f>IF(tblData[[#This Row],[External statement]]="N","",tblData[[#This Row],[P1 Scope 1 and 2]]+tblData[[#This Row],[P2 Figures]])</f>
        <v>2</v>
      </c>
      <c r="AW46" s="5">
        <f>IF(tblData[[#This Row],[External statement]]="N","",tblData[[#This Row],[Core score]]+tblData[[#This Row],[PSPK score]])</f>
        <v>4</v>
      </c>
      <c r="AX46" s="5" t="str">
        <f>IF(tblData[[#This Row],[External statement]]="N","",IF(tblData[[#This Row],[Core score]]=5,"Y","N"))</f>
        <v>N</v>
      </c>
    </row>
    <row r="47" spans="1:50" x14ac:dyDescent="0.3">
      <c r="A47" s="5" t="s">
        <v>350</v>
      </c>
      <c r="B47" s="6" t="s">
        <v>351</v>
      </c>
      <c r="C47" s="5" t="s">
        <v>137</v>
      </c>
      <c r="D47" s="5" t="s">
        <v>138</v>
      </c>
      <c r="E47" s="5" t="s">
        <v>82</v>
      </c>
      <c r="F47" s="5" t="s">
        <v>83</v>
      </c>
      <c r="G47" s="8" t="s">
        <v>352</v>
      </c>
      <c r="H47" s="9">
        <v>46316</v>
      </c>
      <c r="I47" s="5" t="s">
        <v>85</v>
      </c>
      <c r="J47" s="5" t="str">
        <f>IF(OR(tblData[[#This Row],[Assurance category]]="Independent assurance",tblData[[#This Row],[Assurance category]]="Verification only"),"Y","N")</f>
        <v>N</v>
      </c>
      <c r="K47" s="5" t="s">
        <v>82</v>
      </c>
      <c r="L47" s="6" t="s">
        <v>86</v>
      </c>
      <c r="M47" s="6" t="s">
        <v>86</v>
      </c>
      <c r="N47" s="5" t="s">
        <v>86</v>
      </c>
      <c r="O47" s="5" t="s">
        <v>86</v>
      </c>
      <c r="P47" s="5" t="s">
        <v>86</v>
      </c>
      <c r="Q47" s="5" t="s">
        <v>86</v>
      </c>
      <c r="R47" s="5" t="s">
        <v>86</v>
      </c>
      <c r="S47" s="5" t="s">
        <v>87</v>
      </c>
      <c r="T47" s="5" t="s">
        <v>86</v>
      </c>
      <c r="U47" s="5" t="s">
        <v>87</v>
      </c>
      <c r="V47" s="5" t="s">
        <v>86</v>
      </c>
      <c r="W47" s="5" t="s">
        <v>82</v>
      </c>
      <c r="X47" s="5" t="s">
        <v>86</v>
      </c>
      <c r="Y47" s="5" t="s">
        <v>86</v>
      </c>
      <c r="Z47" s="5" t="s">
        <v>86</v>
      </c>
      <c r="AA47" s="5" t="s">
        <v>86</v>
      </c>
      <c r="AB47" s="5" t="s">
        <v>86</v>
      </c>
      <c r="AC47" s="6" t="s">
        <v>86</v>
      </c>
      <c r="AD47" s="5" t="s">
        <v>86</v>
      </c>
      <c r="AE47" s="5" t="s">
        <v>86</v>
      </c>
      <c r="AF47" s="5" t="s">
        <v>86</v>
      </c>
      <c r="AG47" s="5" t="s">
        <v>86</v>
      </c>
      <c r="AH47" s="5" t="s">
        <v>86</v>
      </c>
      <c r="AI47" s="5" t="s">
        <v>86</v>
      </c>
      <c r="AJ47" s="5" t="s">
        <v>86</v>
      </c>
      <c r="AK47" s="5" t="s">
        <v>86</v>
      </c>
      <c r="AL47" s="5" t="s">
        <v>86</v>
      </c>
      <c r="AM47" s="6" t="s">
        <v>353</v>
      </c>
      <c r="AN47" s="5" t="str">
        <f>IF(tblData[[#This Row],[External statement]]="N","",IF(tblData[[#This Row],[Independence statement]]="Y",1,0))</f>
        <v/>
      </c>
      <c r="AO47" s="5" t="str">
        <f>IF(tblData[[#This Row],[External statement]]="N","",IF(tblData[[#This Row],[QM or ethics reference]]="Y",1,0))</f>
        <v/>
      </c>
      <c r="AP47" s="5" t="str">
        <f>IF(tblData[[#This Row],[External statement]]="N","",IF(OR(tblData[[#This Row],[Assurance level]]="Limited",tblData[[#This Row],[Assurance level]]="Reasonable"),1,0))</f>
        <v/>
      </c>
      <c r="AQ47" s="5" t="str">
        <f>IF(tblData[[#This Row],[External statement]]="N","",IF(ISNUMBER(SEARCH("ISAE",tblData[[#This Row],[Standard]])),1,0))</f>
        <v/>
      </c>
      <c r="AR47" s="5" t="str">
        <f>IF(tblData[[#This Row],[External statement]]="N","",IF(OR(tblData[[#This Row],[Conclusion]]="Unmodified",tblData[[#This Row],[Conclusion]]="Modified"),1,0))</f>
        <v/>
      </c>
      <c r="AS47" s="5" t="str">
        <f>IF(tblData[[#This Row],[External statement]]="N","",tblData[[#This Row],[C1 Independence]]+tblData[[#This Row],[C2 Quality management]]+tblData[[#This Row],[C3 Level]]+tblData[[#This Row],[C4 Standard]]+tblData[[#This Row],[C5 Conclusion]])</f>
        <v/>
      </c>
      <c r="AT47" s="5" t="str">
        <f>IF(tblData[[#This Row],[External statement]]="N","",IF(AND(tblData[[#This Row],[Scope 1 assured]]="Y",OR(tblData[[#This Row],[Scope 2 assured]]="Y",tblData[[#This Row],[Scope 2 assured]]="N/A")),1,0))</f>
        <v/>
      </c>
      <c r="AU47" s="5" t="str">
        <f>IF(tblData[[#This Row],[External statement]]="N","",IF(tblData[[#This Row],[Figures listed]]="Y",1,0))</f>
        <v/>
      </c>
      <c r="AV47" s="5" t="str">
        <f>IF(tblData[[#This Row],[External statement]]="N","",tblData[[#This Row],[P1 Scope 1 and 2]]+tblData[[#This Row],[P2 Figures]])</f>
        <v/>
      </c>
      <c r="AW47" s="5" t="str">
        <f>IF(tblData[[#This Row],[External statement]]="N","",tblData[[#This Row],[Core score]]+tblData[[#This Row],[PSPK score]])</f>
        <v/>
      </c>
      <c r="AX47" s="5" t="str">
        <f>IF(tblData[[#This Row],[External statement]]="N","",IF(tblData[[#This Row],[Core score]]=5,"Y","N"))</f>
        <v/>
      </c>
    </row>
    <row r="48" spans="1:50" ht="26.4" x14ac:dyDescent="0.3">
      <c r="A48" s="5" t="s">
        <v>354</v>
      </c>
      <c r="B48" s="6" t="s">
        <v>355</v>
      </c>
      <c r="C48" s="5" t="s">
        <v>117</v>
      </c>
      <c r="D48" s="5"/>
      <c r="E48" s="5" t="s">
        <v>82</v>
      </c>
      <c r="F48" s="5" t="s">
        <v>83</v>
      </c>
      <c r="G48" s="8" t="s">
        <v>356</v>
      </c>
      <c r="H48" s="9">
        <v>46316</v>
      </c>
      <c r="I48" s="5" t="s">
        <v>125</v>
      </c>
      <c r="J48" s="5" t="str">
        <f>IF(OR(tblData[[#This Row],[Assurance category]]="Independent assurance",tblData[[#This Row],[Assurance category]]="Verification only"),"Y","N")</f>
        <v>Y</v>
      </c>
      <c r="K48" s="5" t="s">
        <v>82</v>
      </c>
      <c r="L48" s="6" t="s">
        <v>86</v>
      </c>
      <c r="M48" s="6" t="s">
        <v>126</v>
      </c>
      <c r="N48" s="5" t="s">
        <v>127</v>
      </c>
      <c r="O48" s="5" t="s">
        <v>128</v>
      </c>
      <c r="P48" s="5" t="s">
        <v>129</v>
      </c>
      <c r="Q48" s="5" t="s">
        <v>130</v>
      </c>
      <c r="R48" s="5" t="s">
        <v>131</v>
      </c>
      <c r="S48" s="5" t="s">
        <v>87</v>
      </c>
      <c r="T48" s="5" t="s">
        <v>87</v>
      </c>
      <c r="U48" s="5" t="s">
        <v>87</v>
      </c>
      <c r="V48" s="5" t="s">
        <v>87</v>
      </c>
      <c r="W48" s="5" t="s">
        <v>82</v>
      </c>
      <c r="X48" s="5" t="s">
        <v>82</v>
      </c>
      <c r="Y48" s="5" t="s">
        <v>82</v>
      </c>
      <c r="Z48" s="5" t="s">
        <v>82</v>
      </c>
      <c r="AA48" s="5" t="s">
        <v>87</v>
      </c>
      <c r="AB48" s="5" t="s">
        <v>87</v>
      </c>
      <c r="AC48" s="6" t="s">
        <v>357</v>
      </c>
      <c r="AD48" s="5" t="s">
        <v>87</v>
      </c>
      <c r="AE48" s="5" t="s">
        <v>87</v>
      </c>
      <c r="AF48" s="5" t="s">
        <v>82</v>
      </c>
      <c r="AG48" s="5" t="s">
        <v>133</v>
      </c>
      <c r="AH48" s="5" t="s">
        <v>82</v>
      </c>
      <c r="AI48" s="5" t="s">
        <v>82</v>
      </c>
      <c r="AJ48" s="5" t="s">
        <v>82</v>
      </c>
      <c r="AK48" s="5" t="s">
        <v>82</v>
      </c>
      <c r="AL48" s="5" t="s">
        <v>86</v>
      </c>
      <c r="AM48" s="6" t="s">
        <v>358</v>
      </c>
      <c r="AN48" s="5">
        <f>IF(tblData[[#This Row],[External statement]]="N","",IF(tblData[[#This Row],[Independence statement]]="Y",1,0))</f>
        <v>1</v>
      </c>
      <c r="AO48" s="5">
        <f>IF(tblData[[#This Row],[External statement]]="N","",IF(tblData[[#This Row],[QM or ethics reference]]="Y",1,0))</f>
        <v>0</v>
      </c>
      <c r="AP48" s="5">
        <f>IF(tblData[[#This Row],[External statement]]="N","",IF(OR(tblData[[#This Row],[Assurance level]]="Limited",tblData[[#This Row],[Assurance level]]="Reasonable"),1,0))</f>
        <v>0</v>
      </c>
      <c r="AQ48" s="5">
        <f>IF(tblData[[#This Row],[External statement]]="N","",IF(ISNUMBER(SEARCH("ISAE",tblData[[#This Row],[Standard]])),1,0))</f>
        <v>0</v>
      </c>
      <c r="AR48" s="5">
        <f>IF(tblData[[#This Row],[External statement]]="N","",IF(OR(tblData[[#This Row],[Conclusion]]="Unmodified",tblData[[#This Row],[Conclusion]]="Modified"),1,0))</f>
        <v>1</v>
      </c>
      <c r="AS48" s="5">
        <f>IF(tblData[[#This Row],[External statement]]="N","",tblData[[#This Row],[C1 Independence]]+tblData[[#This Row],[C2 Quality management]]+tblData[[#This Row],[C3 Level]]+tblData[[#This Row],[C4 Standard]]+tblData[[#This Row],[C5 Conclusion]])</f>
        <v>2</v>
      </c>
      <c r="AT48" s="5">
        <f>IF(tblData[[#This Row],[External statement]]="N","",IF(AND(tblData[[#This Row],[Scope 1 assured]]="Y",OR(tblData[[#This Row],[Scope 2 assured]]="Y",tblData[[#This Row],[Scope 2 assured]]="N/A")),1,0))</f>
        <v>1</v>
      </c>
      <c r="AU48" s="5">
        <f>IF(tblData[[#This Row],[External statement]]="N","",IF(tblData[[#This Row],[Figures listed]]="Y",1,0))</f>
        <v>0</v>
      </c>
      <c r="AV48" s="5">
        <f>IF(tblData[[#This Row],[External statement]]="N","",tblData[[#This Row],[P1 Scope 1 and 2]]+tblData[[#This Row],[P2 Figures]])</f>
        <v>1</v>
      </c>
      <c r="AW48" s="5">
        <f>IF(tblData[[#This Row],[External statement]]="N","",tblData[[#This Row],[Core score]]+tblData[[#This Row],[PSPK score]])</f>
        <v>3</v>
      </c>
      <c r="AX48" s="5" t="str">
        <f>IF(tblData[[#This Row],[External statement]]="N","",IF(tblData[[#This Row],[Core score]]=5,"Y","N"))</f>
        <v>N</v>
      </c>
    </row>
    <row r="49" spans="1:50" ht="26.4" x14ac:dyDescent="0.3">
      <c r="A49" s="5" t="s">
        <v>359</v>
      </c>
      <c r="B49" s="6" t="s">
        <v>360</v>
      </c>
      <c r="C49" s="5" t="s">
        <v>227</v>
      </c>
      <c r="D49" s="5"/>
      <c r="E49" s="5" t="s">
        <v>82</v>
      </c>
      <c r="F49" s="5" t="s">
        <v>118</v>
      </c>
      <c r="G49" s="8" t="s">
        <v>361</v>
      </c>
      <c r="H49" s="9">
        <v>46316</v>
      </c>
      <c r="I49" s="5" t="s">
        <v>85</v>
      </c>
      <c r="J49" s="5" t="str">
        <f>IF(OR(tblData[[#This Row],[Assurance category]]="Independent assurance",tblData[[#This Row],[Assurance category]]="Verification only"),"Y","N")</f>
        <v>N</v>
      </c>
      <c r="K49" s="5" t="s">
        <v>82</v>
      </c>
      <c r="L49" s="6" t="s">
        <v>86</v>
      </c>
      <c r="M49" s="6" t="s">
        <v>86</v>
      </c>
      <c r="N49" s="5" t="s">
        <v>86</v>
      </c>
      <c r="O49" s="5" t="s">
        <v>86</v>
      </c>
      <c r="P49" s="5" t="s">
        <v>86</v>
      </c>
      <c r="Q49" s="5" t="s">
        <v>86</v>
      </c>
      <c r="R49" s="5" t="s">
        <v>86</v>
      </c>
      <c r="S49" s="5" t="s">
        <v>82</v>
      </c>
      <c r="T49" s="5" t="s">
        <v>86</v>
      </c>
      <c r="U49" s="5" t="s">
        <v>87</v>
      </c>
      <c r="V49" s="5" t="s">
        <v>86</v>
      </c>
      <c r="W49" s="5" t="s">
        <v>82</v>
      </c>
      <c r="X49" s="5" t="s">
        <v>86</v>
      </c>
      <c r="Y49" s="5" t="s">
        <v>86</v>
      </c>
      <c r="Z49" s="5" t="s">
        <v>86</v>
      </c>
      <c r="AA49" s="5" t="s">
        <v>86</v>
      </c>
      <c r="AB49" s="5" t="s">
        <v>86</v>
      </c>
      <c r="AC49" s="6" t="s">
        <v>86</v>
      </c>
      <c r="AD49" s="5" t="s">
        <v>86</v>
      </c>
      <c r="AE49" s="5" t="s">
        <v>86</v>
      </c>
      <c r="AF49" s="5" t="s">
        <v>86</v>
      </c>
      <c r="AG49" s="5" t="s">
        <v>86</v>
      </c>
      <c r="AH49" s="5" t="s">
        <v>86</v>
      </c>
      <c r="AI49" s="5" t="s">
        <v>86</v>
      </c>
      <c r="AJ49" s="5" t="s">
        <v>86</v>
      </c>
      <c r="AK49" s="5" t="s">
        <v>86</v>
      </c>
      <c r="AL49" s="5" t="s">
        <v>86</v>
      </c>
      <c r="AM49" s="6" t="s">
        <v>362</v>
      </c>
      <c r="AN49" s="5" t="str">
        <f>IF(tblData[[#This Row],[External statement]]="N","",IF(tblData[[#This Row],[Independence statement]]="Y",1,0))</f>
        <v/>
      </c>
      <c r="AO49" s="5" t="str">
        <f>IF(tblData[[#This Row],[External statement]]="N","",IF(tblData[[#This Row],[QM or ethics reference]]="Y",1,0))</f>
        <v/>
      </c>
      <c r="AP49" s="5" t="str">
        <f>IF(tblData[[#This Row],[External statement]]="N","",IF(OR(tblData[[#This Row],[Assurance level]]="Limited",tblData[[#This Row],[Assurance level]]="Reasonable"),1,0))</f>
        <v/>
      </c>
      <c r="AQ49" s="5" t="str">
        <f>IF(tblData[[#This Row],[External statement]]="N","",IF(ISNUMBER(SEARCH("ISAE",tblData[[#This Row],[Standard]])),1,0))</f>
        <v/>
      </c>
      <c r="AR49" s="5" t="str">
        <f>IF(tblData[[#This Row],[External statement]]="N","",IF(OR(tblData[[#This Row],[Conclusion]]="Unmodified",tblData[[#This Row],[Conclusion]]="Modified"),1,0))</f>
        <v/>
      </c>
      <c r="AS49" s="5" t="str">
        <f>IF(tblData[[#This Row],[External statement]]="N","",tblData[[#This Row],[C1 Independence]]+tblData[[#This Row],[C2 Quality management]]+tblData[[#This Row],[C3 Level]]+tblData[[#This Row],[C4 Standard]]+tblData[[#This Row],[C5 Conclusion]])</f>
        <v/>
      </c>
      <c r="AT49" s="5" t="str">
        <f>IF(tblData[[#This Row],[External statement]]="N","",IF(AND(tblData[[#This Row],[Scope 1 assured]]="Y",OR(tblData[[#This Row],[Scope 2 assured]]="Y",tblData[[#This Row],[Scope 2 assured]]="N/A")),1,0))</f>
        <v/>
      </c>
      <c r="AU49" s="5" t="str">
        <f>IF(tblData[[#This Row],[External statement]]="N","",IF(tblData[[#This Row],[Figures listed]]="Y",1,0))</f>
        <v/>
      </c>
      <c r="AV49" s="5" t="str">
        <f>IF(tblData[[#This Row],[External statement]]="N","",tblData[[#This Row],[P1 Scope 1 and 2]]+tblData[[#This Row],[P2 Figures]])</f>
        <v/>
      </c>
      <c r="AW49" s="5" t="str">
        <f>IF(tblData[[#This Row],[External statement]]="N","",tblData[[#This Row],[Core score]]+tblData[[#This Row],[PSPK score]])</f>
        <v/>
      </c>
      <c r="AX49" s="5" t="str">
        <f>IF(tblData[[#This Row],[External statement]]="N","",IF(tblData[[#This Row],[Core score]]=5,"Y","N"))</f>
        <v/>
      </c>
    </row>
  </sheetData>
  <hyperlinks>
    <hyperlink ref="G5" r:id="rId1" xr:uid="{00000000-0004-0000-0100-000000000000}"/>
    <hyperlink ref="G6" r:id="rId2" xr:uid="{00000000-0004-0000-0100-000001000000}"/>
    <hyperlink ref="G7" r:id="rId3" xr:uid="{00000000-0004-0000-0100-000002000000}"/>
    <hyperlink ref="G8" r:id="rId4" xr:uid="{00000000-0004-0000-0100-000003000000}"/>
    <hyperlink ref="G9" r:id="rId5" display="https://www.amman.co.id/rails/active_storage/blobs/proxy/eyJfcmFpbHMiOnsiZGF0YSI6NjE0NSwicHVyIjoiYmxvYl9pZCJ9fQ==--063e809101a3c4d0ff04429af5c9b5d7ec4720ee/Sustainability%20Report%202025%20-%20PT%20Amman%20Mineral%20Internasional%20Tbk.pdf?disposition=inline" xr:uid="{00000000-0004-0000-0100-000004000000}"/>
    <hyperlink ref="G10" r:id="rId6" xr:uid="{00000000-0004-0000-0100-000005000000}"/>
    <hyperlink ref="G11" r:id="rId7" xr:uid="{00000000-0004-0000-0100-000006000000}"/>
    <hyperlink ref="G12" r:id="rId8" xr:uid="{00000000-0004-0000-0100-000007000000}"/>
    <hyperlink ref="G13" r:id="rId9" xr:uid="{00000000-0004-0000-0100-000008000000}"/>
    <hyperlink ref="G14" r:id="rId10" xr:uid="{00000000-0004-0000-0100-000009000000}"/>
    <hyperlink ref="G15" r:id="rId11" xr:uid="{00000000-0004-0000-0100-00000A000000}"/>
    <hyperlink ref="G16" r:id="rId12" xr:uid="{00000000-0004-0000-0100-00000B000000}"/>
    <hyperlink ref="G17" r:id="rId13" xr:uid="{00000000-0004-0000-0100-00000C000000}"/>
    <hyperlink ref="G18" r:id="rId14" xr:uid="{00000000-0004-0000-0100-00000D000000}"/>
    <hyperlink ref="G19" r:id="rId15" xr:uid="{00000000-0004-0000-0100-00000E000000}"/>
    <hyperlink ref="G20" r:id="rId16" xr:uid="{00000000-0004-0000-0100-00000F000000}"/>
    <hyperlink ref="G21" r:id="rId17" xr:uid="{00000000-0004-0000-0100-000010000000}"/>
    <hyperlink ref="G22" r:id="rId18" xr:uid="{00000000-0004-0000-0100-000011000000}"/>
    <hyperlink ref="G23" r:id="rId19" xr:uid="{00000000-0004-0000-0100-000012000000}"/>
    <hyperlink ref="G24" r:id="rId20" xr:uid="{00000000-0004-0000-0100-000013000000}"/>
    <hyperlink ref="G25" r:id="rId21" xr:uid="{00000000-0004-0000-0100-000014000000}"/>
    <hyperlink ref="G26" r:id="rId22" xr:uid="{00000000-0004-0000-0100-000015000000}"/>
    <hyperlink ref="G27" r:id="rId23" xr:uid="{00000000-0004-0000-0100-000016000000}"/>
    <hyperlink ref="G28" r:id="rId24" xr:uid="{00000000-0004-0000-0100-000017000000}"/>
    <hyperlink ref="G29" r:id="rId25" xr:uid="{00000000-0004-0000-0100-000018000000}"/>
    <hyperlink ref="G30" r:id="rId26" xr:uid="{00000000-0004-0000-0100-000019000000}"/>
    <hyperlink ref="G31" r:id="rId27" xr:uid="{00000000-0004-0000-0100-00001A000000}"/>
    <hyperlink ref="G32" r:id="rId28" xr:uid="{00000000-0004-0000-0100-00001B000000}"/>
    <hyperlink ref="G33" r:id="rId29" xr:uid="{00000000-0004-0000-0100-00001C000000}"/>
    <hyperlink ref="G34" r:id="rId30" xr:uid="{00000000-0004-0000-0100-00001D000000}"/>
    <hyperlink ref="G35" r:id="rId31" xr:uid="{00000000-0004-0000-0100-00001E000000}"/>
    <hyperlink ref="G36" r:id="rId32" xr:uid="{00000000-0004-0000-0100-00001F000000}"/>
    <hyperlink ref="G37" r:id="rId33" xr:uid="{00000000-0004-0000-0100-000020000000}"/>
    <hyperlink ref="G38" r:id="rId34" xr:uid="{00000000-0004-0000-0100-000021000000}"/>
    <hyperlink ref="G39" r:id="rId35" xr:uid="{00000000-0004-0000-0100-000022000000}"/>
    <hyperlink ref="G40" r:id="rId36" xr:uid="{00000000-0004-0000-0100-000023000000}"/>
    <hyperlink ref="G41" r:id="rId37" xr:uid="{00000000-0004-0000-0100-000024000000}"/>
    <hyperlink ref="G42" r:id="rId38" xr:uid="{00000000-0004-0000-0100-000025000000}"/>
    <hyperlink ref="G43" r:id="rId39" xr:uid="{00000000-0004-0000-0100-000026000000}"/>
    <hyperlink ref="G44" r:id="rId40" xr:uid="{00000000-0004-0000-0100-000027000000}"/>
    <hyperlink ref="G45" r:id="rId41" xr:uid="{00000000-0004-0000-0100-000028000000}"/>
    <hyperlink ref="G46" r:id="rId42" xr:uid="{00000000-0004-0000-0100-000029000000}"/>
    <hyperlink ref="G47" r:id="rId43" xr:uid="{00000000-0004-0000-0100-00002A000000}"/>
    <hyperlink ref="G48" r:id="rId44" xr:uid="{00000000-0004-0000-0100-00002B000000}"/>
    <hyperlink ref="G49" r:id="rId45" xr:uid="{00000000-0004-0000-0100-00002C000000}"/>
  </hyperlinks>
  <pageMargins left="0.75" right="0.75" top="1" bottom="1" header="0.511811023622047" footer="0.511811023622047"/>
  <pageSetup paperSize="9" orientation="portrait" horizontalDpi="300" verticalDpi="300"/>
  <tableParts count="1">
    <tablePart r:id="rId4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7"/>
  <sheetViews>
    <sheetView showGridLines="0" zoomScaleNormal="100" workbookViewId="0">
      <pane xSplit="1" ySplit="4" topLeftCell="B50" activePane="bottomRight" state="frozen"/>
      <selection pane="topRight" activeCell="B1" sqref="B1"/>
      <selection pane="bottomLeft" activeCell="A5" sqref="A5"/>
      <selection pane="bottomRight" activeCell="C54" sqref="C54"/>
    </sheetView>
  </sheetViews>
  <sheetFormatPr defaultColWidth="8.6640625" defaultRowHeight="14.4" x14ac:dyDescent="0.3"/>
  <cols>
    <col min="1" max="1" width="9" customWidth="1"/>
    <col min="2" max="2" width="10" customWidth="1"/>
    <col min="3" max="8" width="11" customWidth="1"/>
    <col min="9" max="9" width="26" customWidth="1"/>
    <col min="10" max="13" width="11" customWidth="1"/>
    <col min="14" max="15" width="12" customWidth="1"/>
    <col min="16" max="16" width="11" customWidth="1"/>
  </cols>
  <sheetData>
    <row r="1" spans="1:16" ht="17.399999999999999" x14ac:dyDescent="0.3">
      <c r="A1" s="1" t="s">
        <v>363</v>
      </c>
      <c r="B1" s="2"/>
      <c r="C1" s="2"/>
      <c r="D1" s="2"/>
      <c r="E1" s="2"/>
      <c r="F1" s="2"/>
      <c r="G1" s="2"/>
      <c r="H1" s="2"/>
      <c r="I1" s="2"/>
      <c r="J1" s="2"/>
      <c r="K1" s="2"/>
      <c r="L1" s="2"/>
      <c r="M1" s="2"/>
      <c r="N1" s="2"/>
      <c r="O1" s="2"/>
      <c r="P1" s="2"/>
    </row>
    <row r="2" spans="1:16" x14ac:dyDescent="0.3">
      <c r="A2" s="3" t="s">
        <v>364</v>
      </c>
      <c r="B2" s="2"/>
      <c r="C2" s="2"/>
      <c r="D2" s="2"/>
      <c r="E2" s="2"/>
      <c r="F2" s="2"/>
      <c r="G2" s="2"/>
      <c r="H2" s="2"/>
      <c r="I2" s="2"/>
      <c r="J2" s="2"/>
      <c r="K2" s="2"/>
      <c r="L2" s="2"/>
      <c r="M2" s="2"/>
      <c r="N2" s="2"/>
      <c r="O2" s="2"/>
      <c r="P2" s="2"/>
    </row>
    <row r="3" spans="1:16" x14ac:dyDescent="0.3">
      <c r="A3" s="2"/>
      <c r="B3" s="2"/>
      <c r="C3" s="2"/>
      <c r="D3" s="2"/>
      <c r="E3" s="2"/>
      <c r="F3" s="2"/>
      <c r="G3" s="2"/>
      <c r="H3" s="2"/>
      <c r="I3" s="2"/>
      <c r="J3" s="2"/>
      <c r="K3" s="2"/>
      <c r="L3" s="2"/>
      <c r="M3" s="2"/>
      <c r="N3" s="2"/>
      <c r="O3" s="2"/>
      <c r="P3" s="2"/>
    </row>
    <row r="4" spans="1:16" ht="30" customHeight="1" x14ac:dyDescent="0.3">
      <c r="A4" s="4" t="s">
        <v>365</v>
      </c>
      <c r="B4" s="4" t="s">
        <v>366</v>
      </c>
      <c r="C4" s="4" t="s">
        <v>367</v>
      </c>
      <c r="D4" s="4" t="s">
        <v>368</v>
      </c>
      <c r="E4" s="4" t="s">
        <v>369</v>
      </c>
      <c r="F4" s="4" t="s">
        <v>370</v>
      </c>
      <c r="G4" s="4" t="s">
        <v>371</v>
      </c>
      <c r="H4" s="4" t="s">
        <v>372</v>
      </c>
      <c r="I4" s="4" t="s">
        <v>373</v>
      </c>
      <c r="J4" s="4" t="s">
        <v>374</v>
      </c>
      <c r="K4" s="4" t="s">
        <v>375</v>
      </c>
      <c r="L4" s="4" t="s">
        <v>376</v>
      </c>
      <c r="M4" s="4" t="s">
        <v>377</v>
      </c>
      <c r="N4" s="4" t="s">
        <v>378</v>
      </c>
      <c r="O4" s="4" t="s">
        <v>379</v>
      </c>
      <c r="P4" s="4" t="s">
        <v>380</v>
      </c>
    </row>
    <row r="5" spans="1:16" x14ac:dyDescent="0.3">
      <c r="A5" s="5" t="s">
        <v>381</v>
      </c>
      <c r="B5" s="5" t="s">
        <v>87</v>
      </c>
      <c r="C5" s="5" t="s">
        <v>382</v>
      </c>
      <c r="D5" s="5" t="s">
        <v>382</v>
      </c>
      <c r="E5" s="5" t="s">
        <v>383</v>
      </c>
      <c r="F5" s="5" t="s">
        <v>86</v>
      </c>
      <c r="G5" s="5" t="s">
        <v>382</v>
      </c>
      <c r="H5" s="5" t="s">
        <v>82</v>
      </c>
      <c r="I5" s="5" t="s">
        <v>183</v>
      </c>
      <c r="J5" s="5" t="s">
        <v>82</v>
      </c>
      <c r="K5" s="5" t="s">
        <v>82</v>
      </c>
      <c r="L5" s="5" t="s">
        <v>82</v>
      </c>
      <c r="M5" s="5">
        <f>IF(AND(tblRecon[[#This Row],[Sum check]]="N/A",tblRecon[[#This Row],[Breakdown check]]="N/A"),"N/A",IF(OR(tblRecon[[#This Row],[Sum check]]="Mismatch",tblRecon[[#This Row],[Sum check]]="Material",tblRecon[[#This Row],[Breakdown check]]="Mismatch",tblRecon[[#This Row],[Breakdown check]]="Material"),1,0))</f>
        <v>0</v>
      </c>
      <c r="N5"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5" s="5">
        <f>IF(OR(tblRecon[[#This Row],[Plausibility flag]]="Y",tblRecon[[#This Row],[Boundary type]]="Non-standard or undisclosed"),1,0)</f>
        <v>0</v>
      </c>
      <c r="P5" s="5" t="str">
        <f>IF(AND(tblRecon[[#This Row],[Accuracy flag]]&lt;&gt;1,tblRecon[[#This Row],[Consistency flag]]&lt;&gt;1,tblRecon[[#This Row],[Completeness flag]]=0,tblRecon[[#This Row],[Inferred omission]]="N"),"Y","N")</f>
        <v>N</v>
      </c>
    </row>
    <row r="6" spans="1:16" x14ac:dyDescent="0.3">
      <c r="A6" s="5" t="s">
        <v>384</v>
      </c>
      <c r="B6" s="5" t="s">
        <v>87</v>
      </c>
      <c r="C6" s="5" t="s">
        <v>382</v>
      </c>
      <c r="D6" s="5" t="s">
        <v>382</v>
      </c>
      <c r="E6" s="5" t="s">
        <v>86</v>
      </c>
      <c r="F6" s="5" t="s">
        <v>86</v>
      </c>
      <c r="G6" s="5" t="s">
        <v>86</v>
      </c>
      <c r="H6" s="5" t="s">
        <v>82</v>
      </c>
      <c r="I6" s="5" t="s">
        <v>385</v>
      </c>
      <c r="J6" s="5" t="s">
        <v>82</v>
      </c>
      <c r="K6" s="5" t="s">
        <v>82</v>
      </c>
      <c r="L6" s="5" t="s">
        <v>87</v>
      </c>
      <c r="M6" s="5">
        <f>IF(AND(tblRecon[[#This Row],[Sum check]]="N/A",tblRecon[[#This Row],[Breakdown check]]="N/A"),"N/A",IF(OR(tblRecon[[#This Row],[Sum check]]="Mismatch",tblRecon[[#This Row],[Sum check]]="Material",tblRecon[[#This Row],[Breakdown check]]="Mismatch",tblRecon[[#This Row],[Breakdown check]]="Material"),1,0))</f>
        <v>0</v>
      </c>
      <c r="N6" s="5" t="str">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N/A</v>
      </c>
      <c r="O6" s="5">
        <f>IF(OR(tblRecon[[#This Row],[Plausibility flag]]="Y",tblRecon[[#This Row],[Boundary type]]="Non-standard or undisclosed"),1,0)</f>
        <v>0</v>
      </c>
      <c r="P6" s="5" t="str">
        <f>IF(AND(tblRecon[[#This Row],[Accuracy flag]]&lt;&gt;1,tblRecon[[#This Row],[Consistency flag]]&lt;&gt;1,tblRecon[[#This Row],[Completeness flag]]=0,tblRecon[[#This Row],[Inferred omission]]="N"),"Y","N")</f>
        <v>Y</v>
      </c>
    </row>
    <row r="7" spans="1:16" x14ac:dyDescent="0.3">
      <c r="A7" s="5" t="s">
        <v>386</v>
      </c>
      <c r="B7" s="5" t="s">
        <v>82</v>
      </c>
      <c r="C7" s="5" t="s">
        <v>382</v>
      </c>
      <c r="D7" s="5" t="s">
        <v>382</v>
      </c>
      <c r="E7" s="5" t="s">
        <v>86</v>
      </c>
      <c r="F7" s="5" t="s">
        <v>382</v>
      </c>
      <c r="G7" s="5" t="s">
        <v>382</v>
      </c>
      <c r="H7" s="5" t="s">
        <v>82</v>
      </c>
      <c r="I7" s="5" t="s">
        <v>385</v>
      </c>
      <c r="J7" s="5" t="s">
        <v>82</v>
      </c>
      <c r="K7" s="5" t="s">
        <v>82</v>
      </c>
      <c r="L7" s="5" t="s">
        <v>87</v>
      </c>
      <c r="M7" s="5">
        <f>IF(AND(tblRecon[[#This Row],[Sum check]]="N/A",tblRecon[[#This Row],[Breakdown check]]="N/A"),"N/A",IF(OR(tblRecon[[#This Row],[Sum check]]="Mismatch",tblRecon[[#This Row],[Sum check]]="Material",tblRecon[[#This Row],[Breakdown check]]="Mismatch",tblRecon[[#This Row],[Breakdown check]]="Material"),1,0))</f>
        <v>0</v>
      </c>
      <c r="N7"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7" s="5">
        <f>IF(OR(tblRecon[[#This Row],[Plausibility flag]]="Y",tblRecon[[#This Row],[Boundary type]]="Non-standard or undisclosed"),1,0)</f>
        <v>0</v>
      </c>
      <c r="P7" s="5" t="str">
        <f>IF(AND(tblRecon[[#This Row],[Accuracy flag]]&lt;&gt;1,tblRecon[[#This Row],[Consistency flag]]&lt;&gt;1,tblRecon[[#This Row],[Completeness flag]]=0,tblRecon[[#This Row],[Inferred omission]]="N"),"Y","N")</f>
        <v>Y</v>
      </c>
    </row>
    <row r="8" spans="1:16" x14ac:dyDescent="0.3">
      <c r="A8" s="5" t="s">
        <v>387</v>
      </c>
      <c r="B8" s="5" t="s">
        <v>82</v>
      </c>
      <c r="C8" s="5" t="s">
        <v>86</v>
      </c>
      <c r="D8" s="5" t="s">
        <v>382</v>
      </c>
      <c r="E8" s="5" t="s">
        <v>382</v>
      </c>
      <c r="F8" s="5" t="s">
        <v>382</v>
      </c>
      <c r="G8" s="5" t="s">
        <v>382</v>
      </c>
      <c r="H8" s="5" t="s">
        <v>82</v>
      </c>
      <c r="I8" s="5" t="s">
        <v>183</v>
      </c>
      <c r="J8" s="5" t="s">
        <v>82</v>
      </c>
      <c r="K8" s="5" t="s">
        <v>82</v>
      </c>
      <c r="L8" s="5" t="s">
        <v>87</v>
      </c>
      <c r="M8" s="5">
        <f>IF(AND(tblRecon[[#This Row],[Sum check]]="N/A",tblRecon[[#This Row],[Breakdown check]]="N/A"),"N/A",IF(OR(tblRecon[[#This Row],[Sum check]]="Mismatch",tblRecon[[#This Row],[Sum check]]="Material",tblRecon[[#This Row],[Breakdown check]]="Mismatch",tblRecon[[#This Row],[Breakdown check]]="Material"),1,0))</f>
        <v>0</v>
      </c>
      <c r="N8"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8" s="5">
        <f>IF(OR(tblRecon[[#This Row],[Plausibility flag]]="Y",tblRecon[[#This Row],[Boundary type]]="Non-standard or undisclosed"),1,0)</f>
        <v>0</v>
      </c>
      <c r="P8" s="5" t="str">
        <f>IF(AND(tblRecon[[#This Row],[Accuracy flag]]&lt;&gt;1,tblRecon[[#This Row],[Consistency flag]]&lt;&gt;1,tblRecon[[#This Row],[Completeness flag]]=0,tblRecon[[#This Row],[Inferred omission]]="N"),"Y","N")</f>
        <v>Y</v>
      </c>
    </row>
    <row r="9" spans="1:16" x14ac:dyDescent="0.3">
      <c r="A9" s="5" t="s">
        <v>388</v>
      </c>
      <c r="B9" s="5" t="s">
        <v>82</v>
      </c>
      <c r="C9" s="5" t="s">
        <v>389</v>
      </c>
      <c r="D9" s="5" t="s">
        <v>86</v>
      </c>
      <c r="E9" s="5" t="s">
        <v>86</v>
      </c>
      <c r="F9" s="5" t="s">
        <v>86</v>
      </c>
      <c r="G9" s="5" t="s">
        <v>86</v>
      </c>
      <c r="H9" s="5" t="s">
        <v>82</v>
      </c>
      <c r="I9" s="5" t="s">
        <v>183</v>
      </c>
      <c r="J9" s="5" t="s">
        <v>82</v>
      </c>
      <c r="K9" s="5" t="s">
        <v>82</v>
      </c>
      <c r="L9" s="5" t="s">
        <v>82</v>
      </c>
      <c r="M9" s="5">
        <f>IF(AND(tblRecon[[#This Row],[Sum check]]="N/A",tblRecon[[#This Row],[Breakdown check]]="N/A"),"N/A",IF(OR(tblRecon[[#This Row],[Sum check]]="Mismatch",tblRecon[[#This Row],[Sum check]]="Material",tblRecon[[#This Row],[Breakdown check]]="Mismatch",tblRecon[[#This Row],[Breakdown check]]="Material"),1,0))</f>
        <v>1</v>
      </c>
      <c r="N9" s="5" t="str">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N/A</v>
      </c>
      <c r="O9" s="5">
        <f>IF(OR(tblRecon[[#This Row],[Plausibility flag]]="Y",tblRecon[[#This Row],[Boundary type]]="Non-standard or undisclosed"),1,0)</f>
        <v>0</v>
      </c>
      <c r="P9" s="5" t="str">
        <f>IF(AND(tblRecon[[#This Row],[Accuracy flag]]&lt;&gt;1,tblRecon[[#This Row],[Consistency flag]]&lt;&gt;1,tblRecon[[#This Row],[Completeness flag]]=0,tblRecon[[#This Row],[Inferred omission]]="N"),"Y","N")</f>
        <v>N</v>
      </c>
    </row>
    <row r="10" spans="1:16" x14ac:dyDescent="0.3">
      <c r="A10" s="5" t="s">
        <v>390</v>
      </c>
      <c r="B10" s="5" t="s">
        <v>82</v>
      </c>
      <c r="C10" s="5" t="s">
        <v>382</v>
      </c>
      <c r="D10" s="5" t="s">
        <v>382</v>
      </c>
      <c r="E10" s="5" t="s">
        <v>382</v>
      </c>
      <c r="F10" s="5" t="s">
        <v>382</v>
      </c>
      <c r="G10" s="5" t="s">
        <v>382</v>
      </c>
      <c r="H10" s="5" t="s">
        <v>82</v>
      </c>
      <c r="I10" s="5" t="s">
        <v>183</v>
      </c>
      <c r="J10" s="5" t="s">
        <v>82</v>
      </c>
      <c r="K10" s="5" t="s">
        <v>82</v>
      </c>
      <c r="L10" s="5" t="s">
        <v>82</v>
      </c>
      <c r="M10" s="5">
        <f>IF(AND(tblRecon[[#This Row],[Sum check]]="N/A",tblRecon[[#This Row],[Breakdown check]]="N/A"),"N/A",IF(OR(tblRecon[[#This Row],[Sum check]]="Mismatch",tblRecon[[#This Row],[Sum check]]="Material",tblRecon[[#This Row],[Breakdown check]]="Mismatch",tblRecon[[#This Row],[Breakdown check]]="Material"),1,0))</f>
        <v>0</v>
      </c>
      <c r="N10"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10" s="5">
        <f>IF(OR(tblRecon[[#This Row],[Plausibility flag]]="Y",tblRecon[[#This Row],[Boundary type]]="Non-standard or undisclosed"),1,0)</f>
        <v>0</v>
      </c>
      <c r="P10" s="5" t="str">
        <f>IF(AND(tblRecon[[#This Row],[Accuracy flag]]&lt;&gt;1,tblRecon[[#This Row],[Consistency flag]]&lt;&gt;1,tblRecon[[#This Row],[Completeness flag]]=0,tblRecon[[#This Row],[Inferred omission]]="N"),"Y","N")</f>
        <v>Y</v>
      </c>
    </row>
    <row r="11" spans="1:16" x14ac:dyDescent="0.3">
      <c r="A11" s="5" t="s">
        <v>391</v>
      </c>
      <c r="B11" s="5" t="s">
        <v>87</v>
      </c>
      <c r="C11" s="5" t="s">
        <v>382</v>
      </c>
      <c r="D11" s="5" t="s">
        <v>382</v>
      </c>
      <c r="E11" s="5" t="s">
        <v>382</v>
      </c>
      <c r="F11" s="5" t="s">
        <v>86</v>
      </c>
      <c r="G11" s="5" t="s">
        <v>382</v>
      </c>
      <c r="H11" s="5" t="s">
        <v>82</v>
      </c>
      <c r="I11" s="5" t="s">
        <v>183</v>
      </c>
      <c r="J11" s="5" t="s">
        <v>82</v>
      </c>
      <c r="K11" s="5" t="s">
        <v>82</v>
      </c>
      <c r="L11" s="5" t="s">
        <v>87</v>
      </c>
      <c r="M11" s="5">
        <f>IF(AND(tblRecon[[#This Row],[Sum check]]="N/A",tblRecon[[#This Row],[Breakdown check]]="N/A"),"N/A",IF(OR(tblRecon[[#This Row],[Sum check]]="Mismatch",tblRecon[[#This Row],[Sum check]]="Material",tblRecon[[#This Row],[Breakdown check]]="Mismatch",tblRecon[[#This Row],[Breakdown check]]="Material"),1,0))</f>
        <v>0</v>
      </c>
      <c r="N11"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11" s="5">
        <f>IF(OR(tblRecon[[#This Row],[Plausibility flag]]="Y",tblRecon[[#This Row],[Boundary type]]="Non-standard or undisclosed"),1,0)</f>
        <v>0</v>
      </c>
      <c r="P11" s="5" t="str">
        <f>IF(AND(tblRecon[[#This Row],[Accuracy flag]]&lt;&gt;1,tblRecon[[#This Row],[Consistency flag]]&lt;&gt;1,tblRecon[[#This Row],[Completeness flag]]=0,tblRecon[[#This Row],[Inferred omission]]="N"),"Y","N")</f>
        <v>Y</v>
      </c>
    </row>
    <row r="12" spans="1:16" x14ac:dyDescent="0.3">
      <c r="A12" s="5" t="s">
        <v>392</v>
      </c>
      <c r="B12" s="5" t="s">
        <v>82</v>
      </c>
      <c r="C12" s="5" t="s">
        <v>86</v>
      </c>
      <c r="D12" s="5" t="s">
        <v>382</v>
      </c>
      <c r="E12" s="5" t="s">
        <v>86</v>
      </c>
      <c r="F12" s="5" t="s">
        <v>86</v>
      </c>
      <c r="G12" s="5" t="s">
        <v>383</v>
      </c>
      <c r="H12" s="5" t="s">
        <v>87</v>
      </c>
      <c r="I12" s="5" t="s">
        <v>393</v>
      </c>
      <c r="J12" s="5" t="s">
        <v>82</v>
      </c>
      <c r="K12" s="5" t="s">
        <v>82</v>
      </c>
      <c r="L12" s="5" t="s">
        <v>82</v>
      </c>
      <c r="M12" s="5">
        <f>IF(AND(tblRecon[[#This Row],[Sum check]]="N/A",tblRecon[[#This Row],[Breakdown check]]="N/A"),"N/A",IF(OR(tblRecon[[#This Row],[Sum check]]="Mismatch",tblRecon[[#This Row],[Sum check]]="Material",tblRecon[[#This Row],[Breakdown check]]="Mismatch",tblRecon[[#This Row],[Breakdown check]]="Material"),1,0))</f>
        <v>0</v>
      </c>
      <c r="N12"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12" s="5">
        <f>IF(OR(tblRecon[[#This Row],[Plausibility flag]]="Y",tblRecon[[#This Row],[Boundary type]]="Non-standard or undisclosed"),1,0)</f>
        <v>1</v>
      </c>
      <c r="P12" s="5" t="str">
        <f>IF(AND(tblRecon[[#This Row],[Accuracy flag]]&lt;&gt;1,tblRecon[[#This Row],[Consistency flag]]&lt;&gt;1,tblRecon[[#This Row],[Completeness flag]]=0,tblRecon[[#This Row],[Inferred omission]]="N"),"Y","N")</f>
        <v>N</v>
      </c>
    </row>
    <row r="13" spans="1:16" x14ac:dyDescent="0.3">
      <c r="A13" s="5" t="s">
        <v>394</v>
      </c>
      <c r="B13" s="5" t="s">
        <v>87</v>
      </c>
      <c r="C13" s="5" t="s">
        <v>382</v>
      </c>
      <c r="D13" s="5" t="s">
        <v>382</v>
      </c>
      <c r="E13" s="5" t="s">
        <v>382</v>
      </c>
      <c r="F13" s="5" t="s">
        <v>86</v>
      </c>
      <c r="G13" s="5" t="s">
        <v>86</v>
      </c>
      <c r="H13" s="5" t="s">
        <v>82</v>
      </c>
      <c r="I13" s="5" t="s">
        <v>385</v>
      </c>
      <c r="J13" s="5" t="s">
        <v>82</v>
      </c>
      <c r="K13" s="5" t="s">
        <v>87</v>
      </c>
      <c r="L13" s="5" t="s">
        <v>82</v>
      </c>
      <c r="M13" s="5">
        <f>IF(AND(tblRecon[[#This Row],[Sum check]]="N/A",tblRecon[[#This Row],[Breakdown check]]="N/A"),"N/A",IF(OR(tblRecon[[#This Row],[Sum check]]="Mismatch",tblRecon[[#This Row],[Sum check]]="Material",tblRecon[[#This Row],[Breakdown check]]="Mismatch",tblRecon[[#This Row],[Breakdown check]]="Material"),1,0))</f>
        <v>0</v>
      </c>
      <c r="N13"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13" s="5">
        <f>IF(OR(tblRecon[[#This Row],[Plausibility flag]]="Y",tblRecon[[#This Row],[Boundary type]]="Non-standard or undisclosed"),1,0)</f>
        <v>0</v>
      </c>
      <c r="P13" s="5" t="str">
        <f>IF(AND(tblRecon[[#This Row],[Accuracy flag]]&lt;&gt;1,tblRecon[[#This Row],[Consistency flag]]&lt;&gt;1,tblRecon[[#This Row],[Completeness flag]]=0,tblRecon[[#This Row],[Inferred omission]]="N"),"Y","N")</f>
        <v>Y</v>
      </c>
    </row>
    <row r="14" spans="1:16" x14ac:dyDescent="0.3">
      <c r="A14" s="5" t="s">
        <v>395</v>
      </c>
      <c r="B14" s="5" t="s">
        <v>87</v>
      </c>
      <c r="C14" s="5" t="s">
        <v>382</v>
      </c>
      <c r="D14" s="5" t="s">
        <v>86</v>
      </c>
      <c r="E14" s="5" t="s">
        <v>382</v>
      </c>
      <c r="F14" s="5" t="s">
        <v>382</v>
      </c>
      <c r="G14" s="5" t="s">
        <v>86</v>
      </c>
      <c r="H14" s="5" t="s">
        <v>82</v>
      </c>
      <c r="I14" s="5" t="s">
        <v>393</v>
      </c>
      <c r="J14" s="5" t="s">
        <v>82</v>
      </c>
      <c r="K14" s="5" t="s">
        <v>82</v>
      </c>
      <c r="L14" s="5" t="s">
        <v>82</v>
      </c>
      <c r="M14" s="5">
        <f>IF(AND(tblRecon[[#This Row],[Sum check]]="N/A",tblRecon[[#This Row],[Breakdown check]]="N/A"),"N/A",IF(OR(tblRecon[[#This Row],[Sum check]]="Mismatch",tblRecon[[#This Row],[Sum check]]="Material",tblRecon[[#This Row],[Breakdown check]]="Mismatch",tblRecon[[#This Row],[Breakdown check]]="Material"),1,0))</f>
        <v>0</v>
      </c>
      <c r="N14"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14" s="5">
        <f>IF(OR(tblRecon[[#This Row],[Plausibility flag]]="Y",tblRecon[[#This Row],[Boundary type]]="Non-standard or undisclosed"),1,0)</f>
        <v>1</v>
      </c>
      <c r="P14" s="5" t="str">
        <f>IF(AND(tblRecon[[#This Row],[Accuracy flag]]&lt;&gt;1,tblRecon[[#This Row],[Consistency flag]]&lt;&gt;1,tblRecon[[#This Row],[Completeness flag]]=0,tblRecon[[#This Row],[Inferred omission]]="N"),"Y","N")</f>
        <v>N</v>
      </c>
    </row>
    <row r="15" spans="1:16" x14ac:dyDescent="0.3">
      <c r="A15" s="5" t="s">
        <v>396</v>
      </c>
      <c r="B15" s="5" t="s">
        <v>82</v>
      </c>
      <c r="C15" s="5" t="s">
        <v>382</v>
      </c>
      <c r="D15" s="5" t="s">
        <v>86</v>
      </c>
      <c r="E15" s="5" t="s">
        <v>382</v>
      </c>
      <c r="F15" s="5" t="s">
        <v>86</v>
      </c>
      <c r="G15" s="5" t="s">
        <v>382</v>
      </c>
      <c r="H15" s="5" t="s">
        <v>82</v>
      </c>
      <c r="I15" s="5" t="s">
        <v>183</v>
      </c>
      <c r="J15" s="5" t="s">
        <v>82</v>
      </c>
      <c r="K15" s="5" t="s">
        <v>87</v>
      </c>
      <c r="L15" s="5" t="s">
        <v>82</v>
      </c>
      <c r="M15" s="5">
        <f>IF(AND(tblRecon[[#This Row],[Sum check]]="N/A",tblRecon[[#This Row],[Breakdown check]]="N/A"),"N/A",IF(OR(tblRecon[[#This Row],[Sum check]]="Mismatch",tblRecon[[#This Row],[Sum check]]="Material",tblRecon[[#This Row],[Breakdown check]]="Mismatch",tblRecon[[#This Row],[Breakdown check]]="Material"),1,0))</f>
        <v>0</v>
      </c>
      <c r="N15"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15" s="5">
        <f>IF(OR(tblRecon[[#This Row],[Plausibility flag]]="Y",tblRecon[[#This Row],[Boundary type]]="Non-standard or undisclosed"),1,0)</f>
        <v>0</v>
      </c>
      <c r="P15" s="5" t="str">
        <f>IF(AND(tblRecon[[#This Row],[Accuracy flag]]&lt;&gt;1,tblRecon[[#This Row],[Consistency flag]]&lt;&gt;1,tblRecon[[#This Row],[Completeness flag]]=0,tblRecon[[#This Row],[Inferred omission]]="N"),"Y","N")</f>
        <v>Y</v>
      </c>
    </row>
    <row r="16" spans="1:16" x14ac:dyDescent="0.3">
      <c r="A16" s="5" t="s">
        <v>397</v>
      </c>
      <c r="B16" s="5" t="s">
        <v>87</v>
      </c>
      <c r="C16" s="5" t="s">
        <v>382</v>
      </c>
      <c r="D16" s="5" t="s">
        <v>382</v>
      </c>
      <c r="E16" s="5" t="s">
        <v>382</v>
      </c>
      <c r="F16" s="5" t="s">
        <v>382</v>
      </c>
      <c r="G16" s="5" t="s">
        <v>86</v>
      </c>
      <c r="H16" s="5" t="s">
        <v>87</v>
      </c>
      <c r="I16" s="5" t="s">
        <v>393</v>
      </c>
      <c r="J16" s="5" t="s">
        <v>82</v>
      </c>
      <c r="K16" s="5" t="s">
        <v>82</v>
      </c>
      <c r="L16" s="5" t="s">
        <v>82</v>
      </c>
      <c r="M16" s="5">
        <f>IF(AND(tblRecon[[#This Row],[Sum check]]="N/A",tblRecon[[#This Row],[Breakdown check]]="N/A"),"N/A",IF(OR(tblRecon[[#This Row],[Sum check]]="Mismatch",tblRecon[[#This Row],[Sum check]]="Material",tblRecon[[#This Row],[Breakdown check]]="Mismatch",tblRecon[[#This Row],[Breakdown check]]="Material"),1,0))</f>
        <v>0</v>
      </c>
      <c r="N16"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16" s="5">
        <f>IF(OR(tblRecon[[#This Row],[Plausibility flag]]="Y",tblRecon[[#This Row],[Boundary type]]="Non-standard or undisclosed"),1,0)</f>
        <v>1</v>
      </c>
      <c r="P16" s="5" t="str">
        <f>IF(AND(tblRecon[[#This Row],[Accuracy flag]]&lt;&gt;1,tblRecon[[#This Row],[Consistency flag]]&lt;&gt;1,tblRecon[[#This Row],[Completeness flag]]=0,tblRecon[[#This Row],[Inferred omission]]="N"),"Y","N")</f>
        <v>N</v>
      </c>
    </row>
    <row r="17" spans="1:16" x14ac:dyDescent="0.3">
      <c r="A17" s="5" t="s">
        <v>398</v>
      </c>
      <c r="B17" s="5" t="s">
        <v>87</v>
      </c>
      <c r="C17" s="5" t="s">
        <v>382</v>
      </c>
      <c r="D17" s="5" t="s">
        <v>86</v>
      </c>
      <c r="E17" s="5" t="s">
        <v>383</v>
      </c>
      <c r="F17" s="5" t="s">
        <v>382</v>
      </c>
      <c r="G17" s="5" t="s">
        <v>383</v>
      </c>
      <c r="H17" s="5" t="s">
        <v>82</v>
      </c>
      <c r="I17" s="5" t="s">
        <v>183</v>
      </c>
      <c r="J17" s="5" t="s">
        <v>82</v>
      </c>
      <c r="K17" s="5" t="s">
        <v>82</v>
      </c>
      <c r="L17" s="5" t="s">
        <v>87</v>
      </c>
      <c r="M17" s="5">
        <f>IF(AND(tblRecon[[#This Row],[Sum check]]="N/A",tblRecon[[#This Row],[Breakdown check]]="N/A"),"N/A",IF(OR(tblRecon[[#This Row],[Sum check]]="Mismatch",tblRecon[[#This Row],[Sum check]]="Material",tblRecon[[#This Row],[Breakdown check]]="Mismatch",tblRecon[[#This Row],[Breakdown check]]="Material"),1,0))</f>
        <v>0</v>
      </c>
      <c r="N17"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17" s="5">
        <f>IF(OR(tblRecon[[#This Row],[Plausibility flag]]="Y",tblRecon[[#This Row],[Boundary type]]="Non-standard or undisclosed"),1,0)</f>
        <v>0</v>
      </c>
      <c r="P17" s="5" t="str">
        <f>IF(AND(tblRecon[[#This Row],[Accuracy flag]]&lt;&gt;1,tblRecon[[#This Row],[Consistency flag]]&lt;&gt;1,tblRecon[[#This Row],[Completeness flag]]=0,tblRecon[[#This Row],[Inferred omission]]="N"),"Y","N")</f>
        <v>N</v>
      </c>
    </row>
    <row r="18" spans="1:16" x14ac:dyDescent="0.3">
      <c r="A18" s="5" t="s">
        <v>399</v>
      </c>
      <c r="B18" s="5" t="s">
        <v>82</v>
      </c>
      <c r="C18" s="5" t="s">
        <v>382</v>
      </c>
      <c r="D18" s="5" t="s">
        <v>382</v>
      </c>
      <c r="E18" s="5" t="s">
        <v>383</v>
      </c>
      <c r="F18" s="5" t="s">
        <v>86</v>
      </c>
      <c r="G18" s="5" t="s">
        <v>382</v>
      </c>
      <c r="H18" s="5" t="s">
        <v>82</v>
      </c>
      <c r="I18" s="5" t="s">
        <v>385</v>
      </c>
      <c r="J18" s="5" t="s">
        <v>82</v>
      </c>
      <c r="K18" s="5" t="s">
        <v>82</v>
      </c>
      <c r="L18" s="5" t="s">
        <v>82</v>
      </c>
      <c r="M18" s="5">
        <f>IF(AND(tblRecon[[#This Row],[Sum check]]="N/A",tblRecon[[#This Row],[Breakdown check]]="N/A"),"N/A",IF(OR(tblRecon[[#This Row],[Sum check]]="Mismatch",tblRecon[[#This Row],[Sum check]]="Material",tblRecon[[#This Row],[Breakdown check]]="Mismatch",tblRecon[[#This Row],[Breakdown check]]="Material"),1,0))</f>
        <v>0</v>
      </c>
      <c r="N18"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18" s="5">
        <f>IF(OR(tblRecon[[#This Row],[Plausibility flag]]="Y",tblRecon[[#This Row],[Boundary type]]="Non-standard or undisclosed"),1,0)</f>
        <v>0</v>
      </c>
      <c r="P18" s="5" t="str">
        <f>IF(AND(tblRecon[[#This Row],[Accuracy flag]]&lt;&gt;1,tblRecon[[#This Row],[Consistency flag]]&lt;&gt;1,tblRecon[[#This Row],[Completeness flag]]=0,tblRecon[[#This Row],[Inferred omission]]="N"),"Y","N")</f>
        <v>N</v>
      </c>
    </row>
    <row r="19" spans="1:16" x14ac:dyDescent="0.3">
      <c r="A19" s="5" t="s">
        <v>400</v>
      </c>
      <c r="B19" s="5" t="s">
        <v>82</v>
      </c>
      <c r="C19" s="5" t="s">
        <v>382</v>
      </c>
      <c r="D19" s="5" t="s">
        <v>86</v>
      </c>
      <c r="E19" s="5" t="s">
        <v>86</v>
      </c>
      <c r="F19" s="5" t="s">
        <v>86</v>
      </c>
      <c r="G19" s="5" t="s">
        <v>382</v>
      </c>
      <c r="H19" s="5" t="s">
        <v>82</v>
      </c>
      <c r="I19" s="5" t="s">
        <v>183</v>
      </c>
      <c r="J19" s="5" t="s">
        <v>82</v>
      </c>
      <c r="K19" s="5" t="s">
        <v>82</v>
      </c>
      <c r="L19" s="5" t="s">
        <v>87</v>
      </c>
      <c r="M19" s="5">
        <f>IF(AND(tblRecon[[#This Row],[Sum check]]="N/A",tblRecon[[#This Row],[Breakdown check]]="N/A"),"N/A",IF(OR(tblRecon[[#This Row],[Sum check]]="Mismatch",tblRecon[[#This Row],[Sum check]]="Material",tblRecon[[#This Row],[Breakdown check]]="Mismatch",tblRecon[[#This Row],[Breakdown check]]="Material"),1,0))</f>
        <v>0</v>
      </c>
      <c r="N19"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19" s="5">
        <f>IF(OR(tblRecon[[#This Row],[Plausibility flag]]="Y",tblRecon[[#This Row],[Boundary type]]="Non-standard or undisclosed"),1,0)</f>
        <v>0</v>
      </c>
      <c r="P19" s="5" t="str">
        <f>IF(AND(tblRecon[[#This Row],[Accuracy flag]]&lt;&gt;1,tblRecon[[#This Row],[Consistency flag]]&lt;&gt;1,tblRecon[[#This Row],[Completeness flag]]=0,tblRecon[[#This Row],[Inferred omission]]="N"),"Y","N")</f>
        <v>Y</v>
      </c>
    </row>
    <row r="20" spans="1:16" x14ac:dyDescent="0.3">
      <c r="A20" s="5" t="s">
        <v>401</v>
      </c>
      <c r="B20" s="5" t="s">
        <v>87</v>
      </c>
      <c r="C20" s="5" t="s">
        <v>382</v>
      </c>
      <c r="D20" s="5" t="s">
        <v>382</v>
      </c>
      <c r="E20" s="5" t="s">
        <v>382</v>
      </c>
      <c r="F20" s="5" t="s">
        <v>382</v>
      </c>
      <c r="G20" s="5" t="s">
        <v>382</v>
      </c>
      <c r="H20" s="5" t="s">
        <v>82</v>
      </c>
      <c r="I20" s="5" t="s">
        <v>183</v>
      </c>
      <c r="J20" s="5" t="s">
        <v>82</v>
      </c>
      <c r="K20" s="5" t="s">
        <v>87</v>
      </c>
      <c r="L20" s="5" t="s">
        <v>82</v>
      </c>
      <c r="M20" s="5">
        <f>IF(AND(tblRecon[[#This Row],[Sum check]]="N/A",tblRecon[[#This Row],[Breakdown check]]="N/A"),"N/A",IF(OR(tblRecon[[#This Row],[Sum check]]="Mismatch",tblRecon[[#This Row],[Sum check]]="Material",tblRecon[[#This Row],[Breakdown check]]="Mismatch",tblRecon[[#This Row],[Breakdown check]]="Material"),1,0))</f>
        <v>0</v>
      </c>
      <c r="N20"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20" s="5">
        <f>IF(OR(tblRecon[[#This Row],[Plausibility flag]]="Y",tblRecon[[#This Row],[Boundary type]]="Non-standard or undisclosed"),1,0)</f>
        <v>0</v>
      </c>
      <c r="P20" s="5" t="str">
        <f>IF(AND(tblRecon[[#This Row],[Accuracy flag]]&lt;&gt;1,tblRecon[[#This Row],[Consistency flag]]&lt;&gt;1,tblRecon[[#This Row],[Completeness flag]]=0,tblRecon[[#This Row],[Inferred omission]]="N"),"Y","N")</f>
        <v>Y</v>
      </c>
    </row>
    <row r="21" spans="1:16" x14ac:dyDescent="0.3">
      <c r="A21" s="5" t="s">
        <v>402</v>
      </c>
      <c r="B21" s="5" t="s">
        <v>82</v>
      </c>
      <c r="C21" s="5" t="s">
        <v>86</v>
      </c>
      <c r="D21" s="5" t="s">
        <v>382</v>
      </c>
      <c r="E21" s="5" t="s">
        <v>86</v>
      </c>
      <c r="F21" s="5" t="s">
        <v>86</v>
      </c>
      <c r="G21" s="5" t="s">
        <v>382</v>
      </c>
      <c r="H21" s="5" t="s">
        <v>82</v>
      </c>
      <c r="I21" s="5" t="s">
        <v>183</v>
      </c>
      <c r="J21" s="5" t="s">
        <v>82</v>
      </c>
      <c r="K21" s="5" t="s">
        <v>87</v>
      </c>
      <c r="L21" s="5" t="s">
        <v>82</v>
      </c>
      <c r="M21" s="5">
        <f>IF(AND(tblRecon[[#This Row],[Sum check]]="N/A",tblRecon[[#This Row],[Breakdown check]]="N/A"),"N/A",IF(OR(tblRecon[[#This Row],[Sum check]]="Mismatch",tblRecon[[#This Row],[Sum check]]="Material",tblRecon[[#This Row],[Breakdown check]]="Mismatch",tblRecon[[#This Row],[Breakdown check]]="Material"),1,0))</f>
        <v>0</v>
      </c>
      <c r="N21"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21" s="5">
        <f>IF(OR(tblRecon[[#This Row],[Plausibility flag]]="Y",tblRecon[[#This Row],[Boundary type]]="Non-standard or undisclosed"),1,0)</f>
        <v>0</v>
      </c>
      <c r="P21" s="5" t="str">
        <f>IF(AND(tblRecon[[#This Row],[Accuracy flag]]&lt;&gt;1,tblRecon[[#This Row],[Consistency flag]]&lt;&gt;1,tblRecon[[#This Row],[Completeness flag]]=0,tblRecon[[#This Row],[Inferred omission]]="N"),"Y","N")</f>
        <v>Y</v>
      </c>
    </row>
    <row r="22" spans="1:16" x14ac:dyDescent="0.3">
      <c r="A22" s="5" t="s">
        <v>403</v>
      </c>
      <c r="B22" s="5" t="s">
        <v>82</v>
      </c>
      <c r="C22" s="5" t="s">
        <v>382</v>
      </c>
      <c r="D22" s="5" t="s">
        <v>382</v>
      </c>
      <c r="E22" s="5" t="s">
        <v>86</v>
      </c>
      <c r="F22" s="5" t="s">
        <v>86</v>
      </c>
      <c r="G22" s="5" t="s">
        <v>86</v>
      </c>
      <c r="H22" s="5" t="s">
        <v>82</v>
      </c>
      <c r="I22" s="5" t="s">
        <v>183</v>
      </c>
      <c r="J22" s="5" t="s">
        <v>82</v>
      </c>
      <c r="K22" s="5" t="s">
        <v>82</v>
      </c>
      <c r="L22" s="5" t="s">
        <v>82</v>
      </c>
      <c r="M22" s="5">
        <f>IF(AND(tblRecon[[#This Row],[Sum check]]="N/A",tblRecon[[#This Row],[Breakdown check]]="N/A"),"N/A",IF(OR(tblRecon[[#This Row],[Sum check]]="Mismatch",tblRecon[[#This Row],[Sum check]]="Material",tblRecon[[#This Row],[Breakdown check]]="Mismatch",tblRecon[[#This Row],[Breakdown check]]="Material"),1,0))</f>
        <v>0</v>
      </c>
      <c r="N22" s="5" t="str">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N/A</v>
      </c>
      <c r="O22" s="5">
        <f>IF(OR(tblRecon[[#This Row],[Plausibility flag]]="Y",tblRecon[[#This Row],[Boundary type]]="Non-standard or undisclosed"),1,0)</f>
        <v>0</v>
      </c>
      <c r="P22" s="5" t="str">
        <f>IF(AND(tblRecon[[#This Row],[Accuracy flag]]&lt;&gt;1,tblRecon[[#This Row],[Consistency flag]]&lt;&gt;1,tblRecon[[#This Row],[Completeness flag]]=0,tblRecon[[#This Row],[Inferred omission]]="N"),"Y","N")</f>
        <v>Y</v>
      </c>
    </row>
    <row r="23" spans="1:16" x14ac:dyDescent="0.3">
      <c r="A23" s="5" t="s">
        <v>404</v>
      </c>
      <c r="B23" s="5" t="s">
        <v>82</v>
      </c>
      <c r="C23" s="5" t="s">
        <v>382</v>
      </c>
      <c r="D23" s="5" t="s">
        <v>382</v>
      </c>
      <c r="E23" s="5" t="s">
        <v>86</v>
      </c>
      <c r="F23" s="5" t="s">
        <v>86</v>
      </c>
      <c r="G23" s="5" t="s">
        <v>383</v>
      </c>
      <c r="H23" s="5" t="s">
        <v>82</v>
      </c>
      <c r="I23" s="5" t="s">
        <v>183</v>
      </c>
      <c r="J23" s="5" t="s">
        <v>87</v>
      </c>
      <c r="K23" s="5" t="s">
        <v>82</v>
      </c>
      <c r="L23" s="5" t="s">
        <v>82</v>
      </c>
      <c r="M23" s="5">
        <f>IF(AND(tblRecon[[#This Row],[Sum check]]="N/A",tblRecon[[#This Row],[Breakdown check]]="N/A"),"N/A",IF(OR(tblRecon[[#This Row],[Sum check]]="Mismatch",tblRecon[[#This Row],[Sum check]]="Material",tblRecon[[#This Row],[Breakdown check]]="Mismatch",tblRecon[[#This Row],[Breakdown check]]="Material"),1,0))</f>
        <v>0</v>
      </c>
      <c r="N23"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23" s="5">
        <f>IF(OR(tblRecon[[#This Row],[Plausibility flag]]="Y",tblRecon[[#This Row],[Boundary type]]="Non-standard or undisclosed"),1,0)</f>
        <v>0</v>
      </c>
      <c r="P23" s="5" t="str">
        <f>IF(AND(tblRecon[[#This Row],[Accuracy flag]]&lt;&gt;1,tblRecon[[#This Row],[Consistency flag]]&lt;&gt;1,tblRecon[[#This Row],[Completeness flag]]=0,tblRecon[[#This Row],[Inferred omission]]="N"),"Y","N")</f>
        <v>N</v>
      </c>
    </row>
    <row r="24" spans="1:16" x14ac:dyDescent="0.3">
      <c r="A24" s="5" t="s">
        <v>405</v>
      </c>
      <c r="B24" s="5" t="s">
        <v>82</v>
      </c>
      <c r="C24" s="5" t="s">
        <v>382</v>
      </c>
      <c r="D24" s="5" t="s">
        <v>86</v>
      </c>
      <c r="E24" s="5" t="s">
        <v>382</v>
      </c>
      <c r="F24" s="5" t="s">
        <v>86</v>
      </c>
      <c r="G24" s="5" t="s">
        <v>86</v>
      </c>
      <c r="H24" s="5" t="s">
        <v>87</v>
      </c>
      <c r="I24" s="5" t="s">
        <v>183</v>
      </c>
      <c r="J24" s="5" t="s">
        <v>82</v>
      </c>
      <c r="K24" s="5" t="s">
        <v>82</v>
      </c>
      <c r="L24" s="5" t="s">
        <v>87</v>
      </c>
      <c r="M24" s="5">
        <f>IF(AND(tblRecon[[#This Row],[Sum check]]="N/A",tblRecon[[#This Row],[Breakdown check]]="N/A"),"N/A",IF(OR(tblRecon[[#This Row],[Sum check]]="Mismatch",tblRecon[[#This Row],[Sum check]]="Material",tblRecon[[#This Row],[Breakdown check]]="Mismatch",tblRecon[[#This Row],[Breakdown check]]="Material"),1,0))</f>
        <v>0</v>
      </c>
      <c r="N24"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24" s="5">
        <f>IF(OR(tblRecon[[#This Row],[Plausibility flag]]="Y",tblRecon[[#This Row],[Boundary type]]="Non-standard or undisclosed"),1,0)</f>
        <v>1</v>
      </c>
      <c r="P24" s="5" t="str">
        <f>IF(AND(tblRecon[[#This Row],[Accuracy flag]]&lt;&gt;1,tblRecon[[#This Row],[Consistency flag]]&lt;&gt;1,tblRecon[[#This Row],[Completeness flag]]=0,tblRecon[[#This Row],[Inferred omission]]="N"),"Y","N")</f>
        <v>N</v>
      </c>
    </row>
    <row r="25" spans="1:16" x14ac:dyDescent="0.3">
      <c r="A25" s="5" t="s">
        <v>406</v>
      </c>
      <c r="B25" s="5" t="s">
        <v>82</v>
      </c>
      <c r="C25" s="5" t="s">
        <v>382</v>
      </c>
      <c r="D25" s="5" t="s">
        <v>382</v>
      </c>
      <c r="E25" s="5" t="s">
        <v>86</v>
      </c>
      <c r="F25" s="5" t="s">
        <v>86</v>
      </c>
      <c r="G25" s="5" t="s">
        <v>382</v>
      </c>
      <c r="H25" s="5" t="s">
        <v>82</v>
      </c>
      <c r="I25" s="5" t="s">
        <v>393</v>
      </c>
      <c r="J25" s="5" t="s">
        <v>82</v>
      </c>
      <c r="K25" s="5" t="s">
        <v>87</v>
      </c>
      <c r="L25" s="5" t="s">
        <v>87</v>
      </c>
      <c r="M25" s="5">
        <f>IF(AND(tblRecon[[#This Row],[Sum check]]="N/A",tblRecon[[#This Row],[Breakdown check]]="N/A"),"N/A",IF(OR(tblRecon[[#This Row],[Sum check]]="Mismatch",tblRecon[[#This Row],[Sum check]]="Material",tblRecon[[#This Row],[Breakdown check]]="Mismatch",tblRecon[[#This Row],[Breakdown check]]="Material"),1,0))</f>
        <v>0</v>
      </c>
      <c r="N25"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25" s="5">
        <f>IF(OR(tblRecon[[#This Row],[Plausibility flag]]="Y",tblRecon[[#This Row],[Boundary type]]="Non-standard or undisclosed"),1,0)</f>
        <v>1</v>
      </c>
      <c r="P25" s="5" t="str">
        <f>IF(AND(tblRecon[[#This Row],[Accuracy flag]]&lt;&gt;1,tblRecon[[#This Row],[Consistency flag]]&lt;&gt;1,tblRecon[[#This Row],[Completeness flag]]=0,tblRecon[[#This Row],[Inferred omission]]="N"),"Y","N")</f>
        <v>N</v>
      </c>
    </row>
    <row r="26" spans="1:16" x14ac:dyDescent="0.3">
      <c r="A26" s="5" t="s">
        <v>407</v>
      </c>
      <c r="B26" s="5" t="s">
        <v>87</v>
      </c>
      <c r="C26" s="5" t="s">
        <v>389</v>
      </c>
      <c r="D26" s="5" t="s">
        <v>382</v>
      </c>
      <c r="E26" s="5" t="s">
        <v>383</v>
      </c>
      <c r="F26" s="5" t="s">
        <v>382</v>
      </c>
      <c r="G26" s="5" t="s">
        <v>382</v>
      </c>
      <c r="H26" s="5" t="s">
        <v>82</v>
      </c>
      <c r="I26" s="5" t="s">
        <v>183</v>
      </c>
      <c r="J26" s="5" t="s">
        <v>82</v>
      </c>
      <c r="K26" s="5" t="s">
        <v>87</v>
      </c>
      <c r="L26" s="5" t="s">
        <v>82</v>
      </c>
      <c r="M26" s="5">
        <f>IF(AND(tblRecon[[#This Row],[Sum check]]="N/A",tblRecon[[#This Row],[Breakdown check]]="N/A"),"N/A",IF(OR(tblRecon[[#This Row],[Sum check]]="Mismatch",tblRecon[[#This Row],[Sum check]]="Material",tblRecon[[#This Row],[Breakdown check]]="Mismatch",tblRecon[[#This Row],[Breakdown check]]="Material"),1,0))</f>
        <v>1</v>
      </c>
      <c r="N26"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26" s="5">
        <f>IF(OR(tblRecon[[#This Row],[Plausibility flag]]="Y",tblRecon[[#This Row],[Boundary type]]="Non-standard or undisclosed"),1,0)</f>
        <v>0</v>
      </c>
      <c r="P26" s="5" t="str">
        <f>IF(AND(tblRecon[[#This Row],[Accuracy flag]]&lt;&gt;1,tblRecon[[#This Row],[Consistency flag]]&lt;&gt;1,tblRecon[[#This Row],[Completeness flag]]=0,tblRecon[[#This Row],[Inferred omission]]="N"),"Y","N")</f>
        <v>N</v>
      </c>
    </row>
    <row r="27" spans="1:16" x14ac:dyDescent="0.3">
      <c r="A27" s="5" t="s">
        <v>408</v>
      </c>
      <c r="B27" s="5" t="s">
        <v>82</v>
      </c>
      <c r="C27" s="5" t="s">
        <v>382</v>
      </c>
      <c r="D27" s="5" t="s">
        <v>86</v>
      </c>
      <c r="E27" s="5" t="s">
        <v>382</v>
      </c>
      <c r="F27" s="5" t="s">
        <v>382</v>
      </c>
      <c r="G27" s="5" t="s">
        <v>86</v>
      </c>
      <c r="H27" s="5" t="s">
        <v>82</v>
      </c>
      <c r="I27" s="5" t="s">
        <v>393</v>
      </c>
      <c r="J27" s="5" t="s">
        <v>82</v>
      </c>
      <c r="K27" s="5" t="s">
        <v>82</v>
      </c>
      <c r="L27" s="5" t="s">
        <v>87</v>
      </c>
      <c r="M27" s="5">
        <f>IF(AND(tblRecon[[#This Row],[Sum check]]="N/A",tblRecon[[#This Row],[Breakdown check]]="N/A"),"N/A",IF(OR(tblRecon[[#This Row],[Sum check]]="Mismatch",tblRecon[[#This Row],[Sum check]]="Material",tblRecon[[#This Row],[Breakdown check]]="Mismatch",tblRecon[[#This Row],[Breakdown check]]="Material"),1,0))</f>
        <v>0</v>
      </c>
      <c r="N27"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27" s="5">
        <f>IF(OR(tblRecon[[#This Row],[Plausibility flag]]="Y",tblRecon[[#This Row],[Boundary type]]="Non-standard or undisclosed"),1,0)</f>
        <v>1</v>
      </c>
      <c r="P27" s="5" t="str">
        <f>IF(AND(tblRecon[[#This Row],[Accuracy flag]]&lt;&gt;1,tblRecon[[#This Row],[Consistency flag]]&lt;&gt;1,tblRecon[[#This Row],[Completeness flag]]=0,tblRecon[[#This Row],[Inferred omission]]="N"),"Y","N")</f>
        <v>N</v>
      </c>
    </row>
    <row r="28" spans="1:16" x14ac:dyDescent="0.3">
      <c r="A28" s="5" t="s">
        <v>409</v>
      </c>
      <c r="B28" s="5" t="s">
        <v>82</v>
      </c>
      <c r="C28" s="5" t="s">
        <v>382</v>
      </c>
      <c r="D28" s="5" t="s">
        <v>382</v>
      </c>
      <c r="E28" s="5" t="s">
        <v>86</v>
      </c>
      <c r="F28" s="5" t="s">
        <v>86</v>
      </c>
      <c r="G28" s="5" t="s">
        <v>86</v>
      </c>
      <c r="H28" s="5" t="s">
        <v>87</v>
      </c>
      <c r="I28" s="5" t="s">
        <v>393</v>
      </c>
      <c r="J28" s="5" t="s">
        <v>82</v>
      </c>
      <c r="K28" s="5" t="s">
        <v>82</v>
      </c>
      <c r="L28" s="5" t="s">
        <v>82</v>
      </c>
      <c r="M28" s="5">
        <f>IF(AND(tblRecon[[#This Row],[Sum check]]="N/A",tblRecon[[#This Row],[Breakdown check]]="N/A"),"N/A",IF(OR(tblRecon[[#This Row],[Sum check]]="Mismatch",tblRecon[[#This Row],[Sum check]]="Material",tblRecon[[#This Row],[Breakdown check]]="Mismatch",tblRecon[[#This Row],[Breakdown check]]="Material"),1,0))</f>
        <v>0</v>
      </c>
      <c r="N28" s="5" t="str">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N/A</v>
      </c>
      <c r="O28" s="5">
        <f>IF(OR(tblRecon[[#This Row],[Plausibility flag]]="Y",tblRecon[[#This Row],[Boundary type]]="Non-standard or undisclosed"),1,0)</f>
        <v>1</v>
      </c>
      <c r="P28" s="5" t="str">
        <f>IF(AND(tblRecon[[#This Row],[Accuracy flag]]&lt;&gt;1,tblRecon[[#This Row],[Consistency flag]]&lt;&gt;1,tblRecon[[#This Row],[Completeness flag]]=0,tblRecon[[#This Row],[Inferred omission]]="N"),"Y","N")</f>
        <v>N</v>
      </c>
    </row>
    <row r="29" spans="1:16" x14ac:dyDescent="0.3">
      <c r="A29" s="5" t="s">
        <v>410</v>
      </c>
      <c r="B29" s="5" t="s">
        <v>82</v>
      </c>
      <c r="C29" s="5" t="s">
        <v>86</v>
      </c>
      <c r="D29" s="5" t="s">
        <v>382</v>
      </c>
      <c r="E29" s="5" t="s">
        <v>86</v>
      </c>
      <c r="F29" s="5" t="s">
        <v>86</v>
      </c>
      <c r="G29" s="5" t="s">
        <v>86</v>
      </c>
      <c r="H29" s="5" t="s">
        <v>87</v>
      </c>
      <c r="I29" s="5" t="s">
        <v>183</v>
      </c>
      <c r="J29" s="5" t="s">
        <v>82</v>
      </c>
      <c r="K29" s="5" t="s">
        <v>87</v>
      </c>
      <c r="L29" s="5" t="s">
        <v>82</v>
      </c>
      <c r="M29" s="5">
        <f>IF(AND(tblRecon[[#This Row],[Sum check]]="N/A",tblRecon[[#This Row],[Breakdown check]]="N/A"),"N/A",IF(OR(tblRecon[[#This Row],[Sum check]]="Mismatch",tblRecon[[#This Row],[Sum check]]="Material",tblRecon[[#This Row],[Breakdown check]]="Mismatch",tblRecon[[#This Row],[Breakdown check]]="Material"),1,0))</f>
        <v>0</v>
      </c>
      <c r="N29" s="5" t="str">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N/A</v>
      </c>
      <c r="O29" s="5">
        <f>IF(OR(tblRecon[[#This Row],[Plausibility flag]]="Y",tblRecon[[#This Row],[Boundary type]]="Non-standard or undisclosed"),1,0)</f>
        <v>1</v>
      </c>
      <c r="P29" s="5" t="str">
        <f>IF(AND(tblRecon[[#This Row],[Accuracy flag]]&lt;&gt;1,tblRecon[[#This Row],[Consistency flag]]&lt;&gt;1,tblRecon[[#This Row],[Completeness flag]]=0,tblRecon[[#This Row],[Inferred omission]]="N"),"Y","N")</f>
        <v>N</v>
      </c>
    </row>
    <row r="30" spans="1:16" x14ac:dyDescent="0.3">
      <c r="A30" s="5" t="s">
        <v>411</v>
      </c>
      <c r="B30" s="5" t="s">
        <v>87</v>
      </c>
      <c r="C30" s="5" t="s">
        <v>382</v>
      </c>
      <c r="D30" s="5" t="s">
        <v>383</v>
      </c>
      <c r="E30" s="5" t="s">
        <v>383</v>
      </c>
      <c r="F30" s="5" t="s">
        <v>382</v>
      </c>
      <c r="G30" s="5" t="s">
        <v>86</v>
      </c>
      <c r="H30" s="5" t="s">
        <v>82</v>
      </c>
      <c r="I30" s="5" t="s">
        <v>183</v>
      </c>
      <c r="J30" s="5" t="s">
        <v>82</v>
      </c>
      <c r="K30" s="5" t="s">
        <v>82</v>
      </c>
      <c r="L30" s="5" t="s">
        <v>82</v>
      </c>
      <c r="M30" s="5">
        <f>IF(AND(tblRecon[[#This Row],[Sum check]]="N/A",tblRecon[[#This Row],[Breakdown check]]="N/A"),"N/A",IF(OR(tblRecon[[#This Row],[Sum check]]="Mismatch",tblRecon[[#This Row],[Sum check]]="Material",tblRecon[[#This Row],[Breakdown check]]="Mismatch",tblRecon[[#This Row],[Breakdown check]]="Material"),1,0))</f>
        <v>1</v>
      </c>
      <c r="N30"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30" s="5">
        <f>IF(OR(tblRecon[[#This Row],[Plausibility flag]]="Y",tblRecon[[#This Row],[Boundary type]]="Non-standard or undisclosed"),1,0)</f>
        <v>0</v>
      </c>
      <c r="P30" s="5" t="str">
        <f>IF(AND(tblRecon[[#This Row],[Accuracy flag]]&lt;&gt;1,tblRecon[[#This Row],[Consistency flag]]&lt;&gt;1,tblRecon[[#This Row],[Completeness flag]]=0,tblRecon[[#This Row],[Inferred omission]]="N"),"Y","N")</f>
        <v>N</v>
      </c>
    </row>
    <row r="31" spans="1:16" x14ac:dyDescent="0.3">
      <c r="A31" s="5" t="s">
        <v>412</v>
      </c>
      <c r="B31" s="5" t="s">
        <v>87</v>
      </c>
      <c r="C31" s="5" t="s">
        <v>382</v>
      </c>
      <c r="D31" s="5" t="s">
        <v>382</v>
      </c>
      <c r="E31" s="5" t="s">
        <v>382</v>
      </c>
      <c r="F31" s="5" t="s">
        <v>382</v>
      </c>
      <c r="G31" s="5" t="s">
        <v>86</v>
      </c>
      <c r="H31" s="5" t="s">
        <v>82</v>
      </c>
      <c r="I31" s="5" t="s">
        <v>385</v>
      </c>
      <c r="J31" s="5" t="s">
        <v>82</v>
      </c>
      <c r="K31" s="5" t="s">
        <v>82</v>
      </c>
      <c r="L31" s="5" t="s">
        <v>82</v>
      </c>
      <c r="M31" s="5">
        <f>IF(AND(tblRecon[[#This Row],[Sum check]]="N/A",tblRecon[[#This Row],[Breakdown check]]="N/A"),"N/A",IF(OR(tblRecon[[#This Row],[Sum check]]="Mismatch",tblRecon[[#This Row],[Sum check]]="Material",tblRecon[[#This Row],[Breakdown check]]="Mismatch",tblRecon[[#This Row],[Breakdown check]]="Material"),1,0))</f>
        <v>0</v>
      </c>
      <c r="N31"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31" s="5">
        <f>IF(OR(tblRecon[[#This Row],[Plausibility flag]]="Y",tblRecon[[#This Row],[Boundary type]]="Non-standard or undisclosed"),1,0)</f>
        <v>0</v>
      </c>
      <c r="P31" s="5" t="str">
        <f>IF(AND(tblRecon[[#This Row],[Accuracy flag]]&lt;&gt;1,tblRecon[[#This Row],[Consistency flag]]&lt;&gt;1,tblRecon[[#This Row],[Completeness flag]]=0,tblRecon[[#This Row],[Inferred omission]]="N"),"Y","N")</f>
        <v>Y</v>
      </c>
    </row>
    <row r="32" spans="1:16" x14ac:dyDescent="0.3">
      <c r="A32" s="5" t="s">
        <v>413</v>
      </c>
      <c r="B32" s="5" t="s">
        <v>82</v>
      </c>
      <c r="C32" s="5" t="s">
        <v>382</v>
      </c>
      <c r="D32" s="5" t="s">
        <v>382</v>
      </c>
      <c r="E32" s="5" t="s">
        <v>382</v>
      </c>
      <c r="F32" s="5" t="s">
        <v>86</v>
      </c>
      <c r="G32" s="5" t="s">
        <v>382</v>
      </c>
      <c r="H32" s="5" t="s">
        <v>87</v>
      </c>
      <c r="I32" s="5" t="s">
        <v>183</v>
      </c>
      <c r="J32" s="5" t="s">
        <v>82</v>
      </c>
      <c r="K32" s="5" t="s">
        <v>82</v>
      </c>
      <c r="L32" s="5" t="s">
        <v>82</v>
      </c>
      <c r="M32" s="5">
        <f>IF(AND(tblRecon[[#This Row],[Sum check]]="N/A",tblRecon[[#This Row],[Breakdown check]]="N/A"),"N/A",IF(OR(tblRecon[[#This Row],[Sum check]]="Mismatch",tblRecon[[#This Row],[Sum check]]="Material",tblRecon[[#This Row],[Breakdown check]]="Mismatch",tblRecon[[#This Row],[Breakdown check]]="Material"),1,0))</f>
        <v>0</v>
      </c>
      <c r="N32"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32" s="5">
        <f>IF(OR(tblRecon[[#This Row],[Plausibility flag]]="Y",tblRecon[[#This Row],[Boundary type]]="Non-standard or undisclosed"),1,0)</f>
        <v>1</v>
      </c>
      <c r="P32" s="5" t="str">
        <f>IF(AND(tblRecon[[#This Row],[Accuracy flag]]&lt;&gt;1,tblRecon[[#This Row],[Consistency flag]]&lt;&gt;1,tblRecon[[#This Row],[Completeness flag]]=0,tblRecon[[#This Row],[Inferred omission]]="N"),"Y","N")</f>
        <v>N</v>
      </c>
    </row>
    <row r="33" spans="1:16" x14ac:dyDescent="0.3">
      <c r="A33" s="5" t="s">
        <v>414</v>
      </c>
      <c r="B33" s="5" t="s">
        <v>87</v>
      </c>
      <c r="C33" s="5" t="s">
        <v>382</v>
      </c>
      <c r="D33" s="5" t="s">
        <v>383</v>
      </c>
      <c r="E33" s="5" t="s">
        <v>382</v>
      </c>
      <c r="F33" s="5" t="s">
        <v>86</v>
      </c>
      <c r="G33" s="5" t="s">
        <v>383</v>
      </c>
      <c r="H33" s="5" t="s">
        <v>87</v>
      </c>
      <c r="I33" s="5" t="s">
        <v>393</v>
      </c>
      <c r="J33" s="5" t="s">
        <v>87</v>
      </c>
      <c r="K33" s="5" t="s">
        <v>82</v>
      </c>
      <c r="L33" s="5" t="s">
        <v>82</v>
      </c>
      <c r="M33" s="5">
        <f>IF(AND(tblRecon[[#This Row],[Sum check]]="N/A",tblRecon[[#This Row],[Breakdown check]]="N/A"),"N/A",IF(OR(tblRecon[[#This Row],[Sum check]]="Mismatch",tblRecon[[#This Row],[Sum check]]="Material",tblRecon[[#This Row],[Breakdown check]]="Mismatch",tblRecon[[#This Row],[Breakdown check]]="Material"),1,0))</f>
        <v>1</v>
      </c>
      <c r="N33"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33" s="5">
        <f>IF(OR(tblRecon[[#This Row],[Plausibility flag]]="Y",tblRecon[[#This Row],[Boundary type]]="Non-standard or undisclosed"),1,0)</f>
        <v>1</v>
      </c>
      <c r="P33" s="5" t="str">
        <f>IF(AND(tblRecon[[#This Row],[Accuracy flag]]&lt;&gt;1,tblRecon[[#This Row],[Consistency flag]]&lt;&gt;1,tblRecon[[#This Row],[Completeness flag]]=0,tblRecon[[#This Row],[Inferred omission]]="N"),"Y","N")</f>
        <v>N</v>
      </c>
    </row>
    <row r="34" spans="1:16" x14ac:dyDescent="0.3">
      <c r="A34" s="5" t="s">
        <v>415</v>
      </c>
      <c r="B34" s="5" t="s">
        <v>82</v>
      </c>
      <c r="C34" s="5" t="s">
        <v>382</v>
      </c>
      <c r="D34" s="5" t="s">
        <v>382</v>
      </c>
      <c r="E34" s="5" t="s">
        <v>382</v>
      </c>
      <c r="F34" s="5" t="s">
        <v>382</v>
      </c>
      <c r="G34" s="5" t="s">
        <v>382</v>
      </c>
      <c r="H34" s="5" t="s">
        <v>82</v>
      </c>
      <c r="I34" s="5" t="s">
        <v>183</v>
      </c>
      <c r="J34" s="5" t="s">
        <v>82</v>
      </c>
      <c r="K34" s="5" t="s">
        <v>82</v>
      </c>
      <c r="L34" s="5" t="s">
        <v>82</v>
      </c>
      <c r="M34" s="5">
        <f>IF(AND(tblRecon[[#This Row],[Sum check]]="N/A",tblRecon[[#This Row],[Breakdown check]]="N/A"),"N/A",IF(OR(tblRecon[[#This Row],[Sum check]]="Mismatch",tblRecon[[#This Row],[Sum check]]="Material",tblRecon[[#This Row],[Breakdown check]]="Mismatch",tblRecon[[#This Row],[Breakdown check]]="Material"),1,0))</f>
        <v>0</v>
      </c>
      <c r="N34"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34" s="5">
        <f>IF(OR(tblRecon[[#This Row],[Plausibility flag]]="Y",tblRecon[[#This Row],[Boundary type]]="Non-standard or undisclosed"),1,0)</f>
        <v>0</v>
      </c>
      <c r="P34" s="5" t="str">
        <f>IF(AND(tblRecon[[#This Row],[Accuracy flag]]&lt;&gt;1,tblRecon[[#This Row],[Consistency flag]]&lt;&gt;1,tblRecon[[#This Row],[Completeness flag]]=0,tblRecon[[#This Row],[Inferred omission]]="N"),"Y","N")</f>
        <v>Y</v>
      </c>
    </row>
    <row r="35" spans="1:16" x14ac:dyDescent="0.3">
      <c r="A35" s="5" t="s">
        <v>416</v>
      </c>
      <c r="B35" s="5" t="s">
        <v>82</v>
      </c>
      <c r="C35" s="5" t="s">
        <v>382</v>
      </c>
      <c r="D35" s="5" t="s">
        <v>382</v>
      </c>
      <c r="E35" s="5" t="s">
        <v>86</v>
      </c>
      <c r="F35" s="5" t="s">
        <v>86</v>
      </c>
      <c r="G35" s="5" t="s">
        <v>382</v>
      </c>
      <c r="H35" s="5" t="s">
        <v>82</v>
      </c>
      <c r="I35" s="5" t="s">
        <v>183</v>
      </c>
      <c r="J35" s="5" t="s">
        <v>87</v>
      </c>
      <c r="K35" s="5" t="s">
        <v>82</v>
      </c>
      <c r="L35" s="5" t="s">
        <v>87</v>
      </c>
      <c r="M35" s="5">
        <f>IF(AND(tblRecon[[#This Row],[Sum check]]="N/A",tblRecon[[#This Row],[Breakdown check]]="N/A"),"N/A",IF(OR(tblRecon[[#This Row],[Sum check]]="Mismatch",tblRecon[[#This Row],[Sum check]]="Material",tblRecon[[#This Row],[Breakdown check]]="Mismatch",tblRecon[[#This Row],[Breakdown check]]="Material"),1,0))</f>
        <v>0</v>
      </c>
      <c r="N35"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35" s="5">
        <f>IF(OR(tblRecon[[#This Row],[Plausibility flag]]="Y",tblRecon[[#This Row],[Boundary type]]="Non-standard or undisclosed"),1,0)</f>
        <v>0</v>
      </c>
      <c r="P35" s="5" t="str">
        <f>IF(AND(tblRecon[[#This Row],[Accuracy flag]]&lt;&gt;1,tblRecon[[#This Row],[Consistency flag]]&lt;&gt;1,tblRecon[[#This Row],[Completeness flag]]=0,tblRecon[[#This Row],[Inferred omission]]="N"),"Y","N")</f>
        <v>N</v>
      </c>
    </row>
    <row r="36" spans="1:16" x14ac:dyDescent="0.3">
      <c r="A36" s="5" t="s">
        <v>417</v>
      </c>
      <c r="B36" s="5" t="s">
        <v>87</v>
      </c>
      <c r="C36" s="5" t="s">
        <v>382</v>
      </c>
      <c r="D36" s="5" t="s">
        <v>382</v>
      </c>
      <c r="E36" s="5" t="s">
        <v>382</v>
      </c>
      <c r="F36" s="5" t="s">
        <v>86</v>
      </c>
      <c r="G36" s="5" t="s">
        <v>383</v>
      </c>
      <c r="H36" s="5" t="s">
        <v>87</v>
      </c>
      <c r="I36" s="5" t="s">
        <v>183</v>
      </c>
      <c r="J36" s="5" t="s">
        <v>82</v>
      </c>
      <c r="K36" s="5" t="s">
        <v>82</v>
      </c>
      <c r="L36" s="5" t="s">
        <v>82</v>
      </c>
      <c r="M36" s="5">
        <f>IF(AND(tblRecon[[#This Row],[Sum check]]="N/A",tblRecon[[#This Row],[Breakdown check]]="N/A"),"N/A",IF(OR(tblRecon[[#This Row],[Sum check]]="Mismatch",tblRecon[[#This Row],[Sum check]]="Material",tblRecon[[#This Row],[Breakdown check]]="Mismatch",tblRecon[[#This Row],[Breakdown check]]="Material"),1,0))</f>
        <v>0</v>
      </c>
      <c r="N36"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36" s="5">
        <f>IF(OR(tblRecon[[#This Row],[Plausibility flag]]="Y",tblRecon[[#This Row],[Boundary type]]="Non-standard or undisclosed"),1,0)</f>
        <v>1</v>
      </c>
      <c r="P36" s="5" t="str">
        <f>IF(AND(tblRecon[[#This Row],[Accuracy flag]]&lt;&gt;1,tblRecon[[#This Row],[Consistency flag]]&lt;&gt;1,tblRecon[[#This Row],[Completeness flag]]=0,tblRecon[[#This Row],[Inferred omission]]="N"),"Y","N")</f>
        <v>N</v>
      </c>
    </row>
    <row r="37" spans="1:16" x14ac:dyDescent="0.3">
      <c r="A37" s="5" t="s">
        <v>418</v>
      </c>
      <c r="B37" s="5" t="s">
        <v>87</v>
      </c>
      <c r="C37" s="5" t="s">
        <v>419</v>
      </c>
      <c r="D37" s="5" t="s">
        <v>382</v>
      </c>
      <c r="E37" s="5" t="s">
        <v>382</v>
      </c>
      <c r="F37" s="5" t="s">
        <v>86</v>
      </c>
      <c r="G37" s="5" t="s">
        <v>382</v>
      </c>
      <c r="H37" s="5" t="s">
        <v>82</v>
      </c>
      <c r="I37" s="5" t="s">
        <v>393</v>
      </c>
      <c r="J37" s="5" t="s">
        <v>82</v>
      </c>
      <c r="K37" s="5" t="s">
        <v>82</v>
      </c>
      <c r="L37" s="5" t="s">
        <v>82</v>
      </c>
      <c r="M37" s="5">
        <f>IF(AND(tblRecon[[#This Row],[Sum check]]="N/A",tblRecon[[#This Row],[Breakdown check]]="N/A"),"N/A",IF(OR(tblRecon[[#This Row],[Sum check]]="Mismatch",tblRecon[[#This Row],[Sum check]]="Material",tblRecon[[#This Row],[Breakdown check]]="Mismatch",tblRecon[[#This Row],[Breakdown check]]="Material"),1,0))</f>
        <v>0</v>
      </c>
      <c r="N37"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37" s="5">
        <f>IF(OR(tblRecon[[#This Row],[Plausibility flag]]="Y",tblRecon[[#This Row],[Boundary type]]="Non-standard or undisclosed"),1,0)</f>
        <v>1</v>
      </c>
      <c r="P37" s="5" t="str">
        <f>IF(AND(tblRecon[[#This Row],[Accuracy flag]]&lt;&gt;1,tblRecon[[#This Row],[Consistency flag]]&lt;&gt;1,tblRecon[[#This Row],[Completeness flag]]=0,tblRecon[[#This Row],[Inferred omission]]="N"),"Y","N")</f>
        <v>N</v>
      </c>
    </row>
    <row r="38" spans="1:16" x14ac:dyDescent="0.3">
      <c r="A38" s="5" t="s">
        <v>420</v>
      </c>
      <c r="B38" s="5" t="s">
        <v>87</v>
      </c>
      <c r="C38" s="5" t="s">
        <v>382</v>
      </c>
      <c r="D38" s="5" t="s">
        <v>86</v>
      </c>
      <c r="E38" s="5" t="s">
        <v>382</v>
      </c>
      <c r="F38" s="5" t="s">
        <v>382</v>
      </c>
      <c r="G38" s="5" t="s">
        <v>86</v>
      </c>
      <c r="H38" s="5" t="s">
        <v>82</v>
      </c>
      <c r="I38" s="5" t="s">
        <v>393</v>
      </c>
      <c r="J38" s="5" t="s">
        <v>82</v>
      </c>
      <c r="K38" s="5" t="s">
        <v>82</v>
      </c>
      <c r="L38" s="5" t="s">
        <v>87</v>
      </c>
      <c r="M38" s="5">
        <f>IF(AND(tblRecon[[#This Row],[Sum check]]="N/A",tblRecon[[#This Row],[Breakdown check]]="N/A"),"N/A",IF(OR(tblRecon[[#This Row],[Sum check]]="Mismatch",tblRecon[[#This Row],[Sum check]]="Material",tblRecon[[#This Row],[Breakdown check]]="Mismatch",tblRecon[[#This Row],[Breakdown check]]="Material"),1,0))</f>
        <v>0</v>
      </c>
      <c r="N38"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38" s="5">
        <f>IF(OR(tblRecon[[#This Row],[Plausibility flag]]="Y",tblRecon[[#This Row],[Boundary type]]="Non-standard or undisclosed"),1,0)</f>
        <v>1</v>
      </c>
      <c r="P38" s="5" t="str">
        <f>IF(AND(tblRecon[[#This Row],[Accuracy flag]]&lt;&gt;1,tblRecon[[#This Row],[Consistency flag]]&lt;&gt;1,tblRecon[[#This Row],[Completeness flag]]=0,tblRecon[[#This Row],[Inferred omission]]="N"),"Y","N")</f>
        <v>N</v>
      </c>
    </row>
    <row r="39" spans="1:16" x14ac:dyDescent="0.3">
      <c r="A39" s="5" t="s">
        <v>421</v>
      </c>
      <c r="B39" s="5" t="s">
        <v>82</v>
      </c>
      <c r="C39" s="5" t="s">
        <v>382</v>
      </c>
      <c r="D39" s="5" t="s">
        <v>382</v>
      </c>
      <c r="E39" s="5" t="s">
        <v>382</v>
      </c>
      <c r="F39" s="5" t="s">
        <v>382</v>
      </c>
      <c r="G39" s="5" t="s">
        <v>382</v>
      </c>
      <c r="H39" s="5" t="s">
        <v>82</v>
      </c>
      <c r="I39" s="5" t="s">
        <v>385</v>
      </c>
      <c r="J39" s="5" t="s">
        <v>82</v>
      </c>
      <c r="K39" s="5" t="s">
        <v>82</v>
      </c>
      <c r="L39" s="5" t="s">
        <v>87</v>
      </c>
      <c r="M39" s="5">
        <f>IF(AND(tblRecon[[#This Row],[Sum check]]="N/A",tblRecon[[#This Row],[Breakdown check]]="N/A"),"N/A",IF(OR(tblRecon[[#This Row],[Sum check]]="Mismatch",tblRecon[[#This Row],[Sum check]]="Material",tblRecon[[#This Row],[Breakdown check]]="Mismatch",tblRecon[[#This Row],[Breakdown check]]="Material"),1,0))</f>
        <v>0</v>
      </c>
      <c r="N39"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39" s="5">
        <f>IF(OR(tblRecon[[#This Row],[Plausibility flag]]="Y",tblRecon[[#This Row],[Boundary type]]="Non-standard or undisclosed"),1,0)</f>
        <v>0</v>
      </c>
      <c r="P39" s="5" t="str">
        <f>IF(AND(tblRecon[[#This Row],[Accuracy flag]]&lt;&gt;1,tblRecon[[#This Row],[Consistency flag]]&lt;&gt;1,tblRecon[[#This Row],[Completeness flag]]=0,tblRecon[[#This Row],[Inferred omission]]="N"),"Y","N")</f>
        <v>Y</v>
      </c>
    </row>
    <row r="40" spans="1:16" x14ac:dyDescent="0.3">
      <c r="A40" s="5" t="s">
        <v>422</v>
      </c>
      <c r="B40" s="5" t="s">
        <v>82</v>
      </c>
      <c r="C40" s="5" t="s">
        <v>382</v>
      </c>
      <c r="D40" s="5" t="s">
        <v>382</v>
      </c>
      <c r="E40" s="5" t="s">
        <v>383</v>
      </c>
      <c r="F40" s="5" t="s">
        <v>382</v>
      </c>
      <c r="G40" s="5" t="s">
        <v>382</v>
      </c>
      <c r="H40" s="5" t="s">
        <v>82</v>
      </c>
      <c r="I40" s="5" t="s">
        <v>183</v>
      </c>
      <c r="J40" s="5" t="s">
        <v>87</v>
      </c>
      <c r="K40" s="5" t="s">
        <v>87</v>
      </c>
      <c r="L40" s="5" t="s">
        <v>82</v>
      </c>
      <c r="M40" s="5">
        <f>IF(AND(tblRecon[[#This Row],[Sum check]]="N/A",tblRecon[[#This Row],[Breakdown check]]="N/A"),"N/A",IF(OR(tblRecon[[#This Row],[Sum check]]="Mismatch",tblRecon[[#This Row],[Sum check]]="Material",tblRecon[[#This Row],[Breakdown check]]="Mismatch",tblRecon[[#This Row],[Breakdown check]]="Material"),1,0))</f>
        <v>0</v>
      </c>
      <c r="N40"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40" s="5">
        <f>IF(OR(tblRecon[[#This Row],[Plausibility flag]]="Y",tblRecon[[#This Row],[Boundary type]]="Non-standard or undisclosed"),1,0)</f>
        <v>0</v>
      </c>
      <c r="P40" s="5" t="str">
        <f>IF(AND(tblRecon[[#This Row],[Accuracy flag]]&lt;&gt;1,tblRecon[[#This Row],[Consistency flag]]&lt;&gt;1,tblRecon[[#This Row],[Completeness flag]]=0,tblRecon[[#This Row],[Inferred omission]]="N"),"Y","N")</f>
        <v>N</v>
      </c>
    </row>
    <row r="41" spans="1:16" x14ac:dyDescent="0.3">
      <c r="A41" s="5" t="s">
        <v>423</v>
      </c>
      <c r="B41" s="5" t="s">
        <v>82</v>
      </c>
      <c r="C41" s="5" t="s">
        <v>382</v>
      </c>
      <c r="D41" s="5" t="s">
        <v>382</v>
      </c>
      <c r="E41" s="5" t="s">
        <v>383</v>
      </c>
      <c r="F41" s="5" t="s">
        <v>382</v>
      </c>
      <c r="G41" s="5" t="s">
        <v>382</v>
      </c>
      <c r="H41" s="5" t="s">
        <v>82</v>
      </c>
      <c r="I41" s="5" t="s">
        <v>385</v>
      </c>
      <c r="J41" s="5" t="s">
        <v>82</v>
      </c>
      <c r="K41" s="5" t="s">
        <v>82</v>
      </c>
      <c r="L41" s="5" t="s">
        <v>82</v>
      </c>
      <c r="M41" s="5">
        <f>IF(AND(tblRecon[[#This Row],[Sum check]]="N/A",tblRecon[[#This Row],[Breakdown check]]="N/A"),"N/A",IF(OR(tblRecon[[#This Row],[Sum check]]="Mismatch",tblRecon[[#This Row],[Sum check]]="Material",tblRecon[[#This Row],[Breakdown check]]="Mismatch",tblRecon[[#This Row],[Breakdown check]]="Material"),1,0))</f>
        <v>0</v>
      </c>
      <c r="N41"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41" s="5">
        <f>IF(OR(tblRecon[[#This Row],[Plausibility flag]]="Y",tblRecon[[#This Row],[Boundary type]]="Non-standard or undisclosed"),1,0)</f>
        <v>0</v>
      </c>
      <c r="P41" s="5" t="str">
        <f>IF(AND(tblRecon[[#This Row],[Accuracy flag]]&lt;&gt;1,tblRecon[[#This Row],[Consistency flag]]&lt;&gt;1,tblRecon[[#This Row],[Completeness flag]]=0,tblRecon[[#This Row],[Inferred omission]]="N"),"Y","N")</f>
        <v>N</v>
      </c>
    </row>
    <row r="42" spans="1:16" x14ac:dyDescent="0.3">
      <c r="A42" s="5" t="s">
        <v>424</v>
      </c>
      <c r="B42" s="5" t="s">
        <v>87</v>
      </c>
      <c r="C42" s="5" t="s">
        <v>382</v>
      </c>
      <c r="D42" s="5" t="s">
        <v>382</v>
      </c>
      <c r="E42" s="5" t="s">
        <v>382</v>
      </c>
      <c r="F42" s="5" t="s">
        <v>86</v>
      </c>
      <c r="G42" s="5" t="s">
        <v>382</v>
      </c>
      <c r="H42" s="5" t="s">
        <v>82</v>
      </c>
      <c r="I42" s="5" t="s">
        <v>385</v>
      </c>
      <c r="J42" s="5" t="s">
        <v>82</v>
      </c>
      <c r="K42" s="5" t="s">
        <v>82</v>
      </c>
      <c r="L42" s="5" t="s">
        <v>82</v>
      </c>
      <c r="M42" s="5">
        <f>IF(AND(tblRecon[[#This Row],[Sum check]]="N/A",tblRecon[[#This Row],[Breakdown check]]="N/A"),"N/A",IF(OR(tblRecon[[#This Row],[Sum check]]="Mismatch",tblRecon[[#This Row],[Sum check]]="Material",tblRecon[[#This Row],[Breakdown check]]="Mismatch",tblRecon[[#This Row],[Breakdown check]]="Material"),1,0))</f>
        <v>0</v>
      </c>
      <c r="N42"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42" s="5">
        <f>IF(OR(tblRecon[[#This Row],[Plausibility flag]]="Y",tblRecon[[#This Row],[Boundary type]]="Non-standard or undisclosed"),1,0)</f>
        <v>0</v>
      </c>
      <c r="P42" s="5" t="str">
        <f>IF(AND(tblRecon[[#This Row],[Accuracy flag]]&lt;&gt;1,tblRecon[[#This Row],[Consistency flag]]&lt;&gt;1,tblRecon[[#This Row],[Completeness flag]]=0,tblRecon[[#This Row],[Inferred omission]]="N"),"Y","N")</f>
        <v>Y</v>
      </c>
    </row>
    <row r="43" spans="1:16" x14ac:dyDescent="0.3">
      <c r="A43" s="5" t="s">
        <v>425</v>
      </c>
      <c r="B43" s="5" t="s">
        <v>82</v>
      </c>
      <c r="C43" s="5" t="s">
        <v>382</v>
      </c>
      <c r="D43" s="5" t="s">
        <v>382</v>
      </c>
      <c r="E43" s="5" t="s">
        <v>382</v>
      </c>
      <c r="F43" s="5" t="s">
        <v>86</v>
      </c>
      <c r="G43" s="5" t="s">
        <v>86</v>
      </c>
      <c r="H43" s="5" t="s">
        <v>82</v>
      </c>
      <c r="I43" s="5" t="s">
        <v>183</v>
      </c>
      <c r="J43" s="5" t="s">
        <v>87</v>
      </c>
      <c r="K43" s="5" t="s">
        <v>82</v>
      </c>
      <c r="L43" s="5" t="s">
        <v>82</v>
      </c>
      <c r="M43" s="5">
        <f>IF(AND(tblRecon[[#This Row],[Sum check]]="N/A",tblRecon[[#This Row],[Breakdown check]]="N/A"),"N/A",IF(OR(tblRecon[[#This Row],[Sum check]]="Mismatch",tblRecon[[#This Row],[Sum check]]="Material",tblRecon[[#This Row],[Breakdown check]]="Mismatch",tblRecon[[#This Row],[Breakdown check]]="Material"),1,0))</f>
        <v>0</v>
      </c>
      <c r="N43"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43" s="5">
        <f>IF(OR(tblRecon[[#This Row],[Plausibility flag]]="Y",tblRecon[[#This Row],[Boundary type]]="Non-standard or undisclosed"),1,0)</f>
        <v>0</v>
      </c>
      <c r="P43" s="5" t="str">
        <f>IF(AND(tblRecon[[#This Row],[Accuracy flag]]&lt;&gt;1,tblRecon[[#This Row],[Consistency flag]]&lt;&gt;1,tblRecon[[#This Row],[Completeness flag]]=0,tblRecon[[#This Row],[Inferred omission]]="N"),"Y","N")</f>
        <v>N</v>
      </c>
    </row>
    <row r="44" spans="1:16" x14ac:dyDescent="0.3">
      <c r="A44" s="5" t="s">
        <v>426</v>
      </c>
      <c r="B44" s="5" t="s">
        <v>87</v>
      </c>
      <c r="C44" s="5" t="s">
        <v>382</v>
      </c>
      <c r="D44" s="5" t="s">
        <v>382</v>
      </c>
      <c r="E44" s="5" t="s">
        <v>382</v>
      </c>
      <c r="F44" s="5" t="s">
        <v>86</v>
      </c>
      <c r="G44" s="5" t="s">
        <v>382</v>
      </c>
      <c r="H44" s="5" t="s">
        <v>82</v>
      </c>
      <c r="I44" s="5" t="s">
        <v>183</v>
      </c>
      <c r="J44" s="5" t="s">
        <v>82</v>
      </c>
      <c r="K44" s="5" t="s">
        <v>82</v>
      </c>
      <c r="L44" s="5" t="s">
        <v>82</v>
      </c>
      <c r="M44" s="5">
        <f>IF(AND(tblRecon[[#This Row],[Sum check]]="N/A",tblRecon[[#This Row],[Breakdown check]]="N/A"),"N/A",IF(OR(tblRecon[[#This Row],[Sum check]]="Mismatch",tblRecon[[#This Row],[Sum check]]="Material",tblRecon[[#This Row],[Breakdown check]]="Mismatch",tblRecon[[#This Row],[Breakdown check]]="Material"),1,0))</f>
        <v>0</v>
      </c>
      <c r="N44"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44" s="5">
        <f>IF(OR(tblRecon[[#This Row],[Plausibility flag]]="Y",tblRecon[[#This Row],[Boundary type]]="Non-standard or undisclosed"),1,0)</f>
        <v>0</v>
      </c>
      <c r="P44" s="5" t="str">
        <f>IF(AND(tblRecon[[#This Row],[Accuracy flag]]&lt;&gt;1,tblRecon[[#This Row],[Consistency flag]]&lt;&gt;1,tblRecon[[#This Row],[Completeness flag]]=0,tblRecon[[#This Row],[Inferred omission]]="N"),"Y","N")</f>
        <v>Y</v>
      </c>
    </row>
    <row r="45" spans="1:16" x14ac:dyDescent="0.3">
      <c r="A45" s="5" t="s">
        <v>427</v>
      </c>
      <c r="B45" s="5" t="s">
        <v>87</v>
      </c>
      <c r="C45" s="5" t="s">
        <v>382</v>
      </c>
      <c r="D45" s="5" t="s">
        <v>382</v>
      </c>
      <c r="E45" s="5" t="s">
        <v>383</v>
      </c>
      <c r="F45" s="5" t="s">
        <v>383</v>
      </c>
      <c r="G45" s="5" t="s">
        <v>86</v>
      </c>
      <c r="H45" s="5" t="s">
        <v>82</v>
      </c>
      <c r="I45" s="5" t="s">
        <v>183</v>
      </c>
      <c r="J45" s="5" t="s">
        <v>82</v>
      </c>
      <c r="K45" s="5" t="s">
        <v>82</v>
      </c>
      <c r="L45" s="5" t="s">
        <v>87</v>
      </c>
      <c r="M45" s="5">
        <f>IF(AND(tblRecon[[#This Row],[Sum check]]="N/A",tblRecon[[#This Row],[Breakdown check]]="N/A"),"N/A",IF(OR(tblRecon[[#This Row],[Sum check]]="Mismatch",tblRecon[[#This Row],[Sum check]]="Material",tblRecon[[#This Row],[Breakdown check]]="Mismatch",tblRecon[[#This Row],[Breakdown check]]="Material"),1,0))</f>
        <v>0</v>
      </c>
      <c r="N45"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1</v>
      </c>
      <c r="O45" s="5">
        <f>IF(OR(tblRecon[[#This Row],[Plausibility flag]]="Y",tblRecon[[#This Row],[Boundary type]]="Non-standard or undisclosed"),1,0)</f>
        <v>0</v>
      </c>
      <c r="P45" s="5" t="str">
        <f>IF(AND(tblRecon[[#This Row],[Accuracy flag]]&lt;&gt;1,tblRecon[[#This Row],[Consistency flag]]&lt;&gt;1,tblRecon[[#This Row],[Completeness flag]]=0,tblRecon[[#This Row],[Inferred omission]]="N"),"Y","N")</f>
        <v>N</v>
      </c>
    </row>
    <row r="46" spans="1:16" x14ac:dyDescent="0.3">
      <c r="A46" s="5" t="s">
        <v>428</v>
      </c>
      <c r="B46" s="5" t="s">
        <v>82</v>
      </c>
      <c r="C46" s="5" t="s">
        <v>86</v>
      </c>
      <c r="D46" s="5" t="s">
        <v>86</v>
      </c>
      <c r="E46" s="5" t="s">
        <v>86</v>
      </c>
      <c r="F46" s="5" t="s">
        <v>86</v>
      </c>
      <c r="G46" s="5" t="s">
        <v>86</v>
      </c>
      <c r="H46" s="5" t="s">
        <v>82</v>
      </c>
      <c r="I46" s="5" t="s">
        <v>385</v>
      </c>
      <c r="J46" s="5" t="s">
        <v>87</v>
      </c>
      <c r="K46" s="5" t="s">
        <v>82</v>
      </c>
      <c r="L46" s="5" t="s">
        <v>82</v>
      </c>
      <c r="M46" s="5" t="str">
        <f>IF(AND(tblRecon[[#This Row],[Sum check]]="N/A",tblRecon[[#This Row],[Breakdown check]]="N/A"),"N/A",IF(OR(tblRecon[[#This Row],[Sum check]]="Mismatch",tblRecon[[#This Row],[Sum check]]="Material",tblRecon[[#This Row],[Breakdown check]]="Mismatch",tblRecon[[#This Row],[Breakdown check]]="Material"),1,0))</f>
        <v>N/A</v>
      </c>
      <c r="N46" s="5" t="str">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N/A</v>
      </c>
      <c r="O46" s="5">
        <f>IF(OR(tblRecon[[#This Row],[Plausibility flag]]="Y",tblRecon[[#This Row],[Boundary type]]="Non-standard or undisclosed"),1,0)</f>
        <v>0</v>
      </c>
      <c r="P46" s="5" t="str">
        <f>IF(AND(tblRecon[[#This Row],[Accuracy flag]]&lt;&gt;1,tblRecon[[#This Row],[Consistency flag]]&lt;&gt;1,tblRecon[[#This Row],[Completeness flag]]=0,tblRecon[[#This Row],[Inferred omission]]="N"),"Y","N")</f>
        <v>N</v>
      </c>
    </row>
    <row r="47" spans="1:16" x14ac:dyDescent="0.3">
      <c r="A47" s="5" t="s">
        <v>429</v>
      </c>
      <c r="B47" s="5" t="s">
        <v>87</v>
      </c>
      <c r="C47" s="5" t="s">
        <v>382</v>
      </c>
      <c r="D47" s="5" t="s">
        <v>382</v>
      </c>
      <c r="E47" s="5" t="s">
        <v>382</v>
      </c>
      <c r="F47" s="5" t="s">
        <v>382</v>
      </c>
      <c r="G47" s="5" t="s">
        <v>86</v>
      </c>
      <c r="H47" s="5" t="s">
        <v>82</v>
      </c>
      <c r="I47" s="5" t="s">
        <v>183</v>
      </c>
      <c r="J47" s="5" t="s">
        <v>82</v>
      </c>
      <c r="K47" s="5" t="s">
        <v>82</v>
      </c>
      <c r="L47" s="5" t="s">
        <v>82</v>
      </c>
      <c r="M47" s="5">
        <f>IF(AND(tblRecon[[#This Row],[Sum check]]="N/A",tblRecon[[#This Row],[Breakdown check]]="N/A"),"N/A",IF(OR(tblRecon[[#This Row],[Sum check]]="Mismatch",tblRecon[[#This Row],[Sum check]]="Material",tblRecon[[#This Row],[Breakdown check]]="Mismatch",tblRecon[[#This Row],[Breakdown check]]="Material"),1,0))</f>
        <v>0</v>
      </c>
      <c r="N47"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47" s="5">
        <f>IF(OR(tblRecon[[#This Row],[Plausibility flag]]="Y",tblRecon[[#This Row],[Boundary type]]="Non-standard or undisclosed"),1,0)</f>
        <v>0</v>
      </c>
      <c r="P47" s="5" t="str">
        <f>IF(AND(tblRecon[[#This Row],[Accuracy flag]]&lt;&gt;1,tblRecon[[#This Row],[Consistency flag]]&lt;&gt;1,tblRecon[[#This Row],[Completeness flag]]=0,tblRecon[[#This Row],[Inferred omission]]="N"),"Y","N")</f>
        <v>Y</v>
      </c>
    </row>
    <row r="48" spans="1:16" x14ac:dyDescent="0.3">
      <c r="A48" s="5" t="s">
        <v>430</v>
      </c>
      <c r="B48" s="5" t="s">
        <v>82</v>
      </c>
      <c r="C48" s="5" t="s">
        <v>86</v>
      </c>
      <c r="D48" s="5" t="s">
        <v>382</v>
      </c>
      <c r="E48" s="5" t="s">
        <v>382</v>
      </c>
      <c r="F48" s="5" t="s">
        <v>382</v>
      </c>
      <c r="G48" s="5" t="s">
        <v>86</v>
      </c>
      <c r="H48" s="5" t="s">
        <v>82</v>
      </c>
      <c r="I48" s="5" t="s">
        <v>393</v>
      </c>
      <c r="J48" s="5" t="s">
        <v>82</v>
      </c>
      <c r="K48" s="5" t="s">
        <v>82</v>
      </c>
      <c r="L48" s="5" t="s">
        <v>87</v>
      </c>
      <c r="M48" s="5">
        <f>IF(AND(tblRecon[[#This Row],[Sum check]]="N/A",tblRecon[[#This Row],[Breakdown check]]="N/A"),"N/A",IF(OR(tblRecon[[#This Row],[Sum check]]="Mismatch",tblRecon[[#This Row],[Sum check]]="Material",tblRecon[[#This Row],[Breakdown check]]="Mismatch",tblRecon[[#This Row],[Breakdown check]]="Material"),1,0))</f>
        <v>0</v>
      </c>
      <c r="N48"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48" s="5">
        <f>IF(OR(tblRecon[[#This Row],[Plausibility flag]]="Y",tblRecon[[#This Row],[Boundary type]]="Non-standard or undisclosed"),1,0)</f>
        <v>1</v>
      </c>
      <c r="P48" s="5" t="str">
        <f>IF(AND(tblRecon[[#This Row],[Accuracy flag]]&lt;&gt;1,tblRecon[[#This Row],[Consistency flag]]&lt;&gt;1,tblRecon[[#This Row],[Completeness flag]]=0,tblRecon[[#This Row],[Inferred omission]]="N"),"Y","N")</f>
        <v>N</v>
      </c>
    </row>
    <row r="49" spans="1:16" x14ac:dyDescent="0.3">
      <c r="A49" s="5" t="s">
        <v>431</v>
      </c>
      <c r="B49" s="5" t="s">
        <v>87</v>
      </c>
      <c r="C49" s="5" t="s">
        <v>86</v>
      </c>
      <c r="D49" s="5" t="s">
        <v>382</v>
      </c>
      <c r="E49" s="5" t="s">
        <v>382</v>
      </c>
      <c r="F49" s="5" t="s">
        <v>382</v>
      </c>
      <c r="G49" s="5" t="s">
        <v>86</v>
      </c>
      <c r="H49" s="5" t="s">
        <v>82</v>
      </c>
      <c r="I49" s="5" t="s">
        <v>183</v>
      </c>
      <c r="J49" s="5" t="s">
        <v>82</v>
      </c>
      <c r="K49" s="5" t="s">
        <v>82</v>
      </c>
      <c r="L49" s="5" t="s">
        <v>87</v>
      </c>
      <c r="M49" s="5">
        <f>IF(AND(tblRecon[[#This Row],[Sum check]]="N/A",tblRecon[[#This Row],[Breakdown check]]="N/A"),"N/A",IF(OR(tblRecon[[#This Row],[Sum check]]="Mismatch",tblRecon[[#This Row],[Sum check]]="Material",tblRecon[[#This Row],[Breakdown check]]="Mismatch",tblRecon[[#This Row],[Breakdown check]]="Material"),1,0))</f>
        <v>0</v>
      </c>
      <c r="N49" s="5">
        <f>IF(AND(tblRecon[[#This Row],[Narrative check]]="N/A",tblRecon[[#This Row],[Change check]]="N/A",tblRecon[[#This Row],[Intensity check]]="N/A"),"N/A",IF(OR(tblRecon[[#This Row],[Narrative check]]="Mismatch",tblRecon[[#This Row],[Narrative check]]="Material",tblRecon[[#This Row],[Change check]]="Mismatch",tblRecon[[#This Row],[Change check]]="Material",tblRecon[[#This Row],[Intensity check]]="Mismatch",tblRecon[[#This Row],[Intensity check]]="Material"),1,0))</f>
        <v>0</v>
      </c>
      <c r="O49" s="5">
        <f>IF(OR(tblRecon[[#This Row],[Plausibility flag]]="Y",tblRecon[[#This Row],[Boundary type]]="Non-standard or undisclosed"),1,0)</f>
        <v>0</v>
      </c>
      <c r="P49" s="5" t="str">
        <f>IF(AND(tblRecon[[#This Row],[Accuracy flag]]&lt;&gt;1,tblRecon[[#This Row],[Consistency flag]]&lt;&gt;1,tblRecon[[#This Row],[Completeness flag]]=0,tblRecon[[#This Row],[Inferred omission]]="N"),"Y","N")</f>
        <v>Y</v>
      </c>
    </row>
    <row r="50" spans="1:16" x14ac:dyDescent="0.3">
      <c r="A50" s="2"/>
      <c r="B50" s="2"/>
      <c r="C50" s="2"/>
      <c r="D50" s="2"/>
      <c r="E50" s="2"/>
      <c r="F50" s="2"/>
      <c r="G50" s="2"/>
      <c r="H50" s="2"/>
      <c r="I50" s="2"/>
      <c r="J50" s="2"/>
      <c r="K50" s="2"/>
      <c r="L50" s="2"/>
      <c r="M50" s="2"/>
      <c r="N50" s="2"/>
      <c r="O50" s="2"/>
      <c r="P50" s="2"/>
    </row>
    <row r="51" spans="1:16" x14ac:dyDescent="0.3">
      <c r="A51" s="2"/>
      <c r="B51" s="2"/>
      <c r="C51" s="2"/>
      <c r="D51" s="2"/>
      <c r="E51" s="2"/>
      <c r="F51" s="2"/>
      <c r="G51" s="2"/>
      <c r="H51" s="2"/>
      <c r="I51" s="2"/>
      <c r="J51" s="2"/>
      <c r="K51" s="2"/>
      <c r="L51" s="2"/>
      <c r="M51" s="2"/>
      <c r="N51" s="2"/>
      <c r="O51" s="2"/>
      <c r="P51" s="2"/>
    </row>
    <row r="52" spans="1:16" x14ac:dyDescent="0.3">
      <c r="A52" s="10" t="s">
        <v>432</v>
      </c>
      <c r="B52" s="2"/>
      <c r="C52" s="2"/>
      <c r="D52" s="2"/>
      <c r="E52" s="2"/>
      <c r="F52" s="2"/>
      <c r="G52" s="2"/>
      <c r="H52" s="2"/>
      <c r="I52" s="2"/>
      <c r="J52" s="2"/>
      <c r="K52" s="2"/>
      <c r="L52" s="2"/>
      <c r="M52" s="2"/>
      <c r="N52" s="2"/>
      <c r="O52" s="2"/>
      <c r="P52" s="2"/>
    </row>
    <row r="53" spans="1:16" ht="26.4" x14ac:dyDescent="0.3">
      <c r="A53" s="4" t="s">
        <v>433</v>
      </c>
      <c r="B53" s="4" t="s">
        <v>434</v>
      </c>
      <c r="C53" s="4" t="s">
        <v>435</v>
      </c>
      <c r="D53" s="2"/>
      <c r="E53" s="2"/>
      <c r="F53" s="2"/>
      <c r="G53" s="2"/>
      <c r="H53" s="2"/>
      <c r="I53" s="2"/>
      <c r="J53" s="2"/>
      <c r="K53" s="2"/>
      <c r="L53" s="2"/>
      <c r="M53" s="2"/>
      <c r="N53" s="2"/>
      <c r="O53" s="2"/>
      <c r="P53" s="2"/>
    </row>
    <row r="54" spans="1:16" ht="118.8" x14ac:dyDescent="0.3">
      <c r="A54" s="5" t="s">
        <v>367</v>
      </c>
      <c r="B54" s="6" t="s">
        <v>436</v>
      </c>
      <c r="C54" s="6" t="s">
        <v>437</v>
      </c>
      <c r="D54" s="2"/>
      <c r="E54" s="2"/>
      <c r="F54" s="2"/>
      <c r="G54" s="2"/>
      <c r="H54" s="2"/>
      <c r="I54" s="2"/>
      <c r="J54" s="2"/>
      <c r="K54" s="2"/>
      <c r="L54" s="2"/>
      <c r="M54" s="2"/>
      <c r="N54" s="2"/>
      <c r="O54" s="2"/>
      <c r="P54" s="2"/>
    </row>
    <row r="55" spans="1:16" ht="184.8" x14ac:dyDescent="0.3">
      <c r="A55" s="5" t="s">
        <v>368</v>
      </c>
      <c r="B55" s="6" t="s">
        <v>438</v>
      </c>
      <c r="C55" s="6" t="s">
        <v>439</v>
      </c>
      <c r="D55" s="2"/>
      <c r="E55" s="2"/>
      <c r="F55" s="2"/>
      <c r="G55" s="2"/>
      <c r="H55" s="2"/>
      <c r="I55" s="2"/>
      <c r="J55" s="2"/>
      <c r="K55" s="2"/>
      <c r="L55" s="2"/>
      <c r="M55" s="2"/>
      <c r="N55" s="2"/>
      <c r="O55" s="2"/>
      <c r="P55" s="2"/>
    </row>
    <row r="56" spans="1:16" ht="118.8" x14ac:dyDescent="0.3">
      <c r="A56" s="5" t="s">
        <v>369</v>
      </c>
      <c r="B56" s="6" t="s">
        <v>440</v>
      </c>
      <c r="C56" s="6" t="s">
        <v>441</v>
      </c>
      <c r="D56" s="2"/>
      <c r="E56" s="2"/>
      <c r="F56" s="2"/>
      <c r="G56" s="2"/>
      <c r="H56" s="2"/>
      <c r="I56" s="2"/>
      <c r="J56" s="2"/>
      <c r="K56" s="2"/>
      <c r="L56" s="2"/>
      <c r="M56" s="2"/>
      <c r="N56" s="2"/>
      <c r="O56" s="2"/>
      <c r="P56" s="2"/>
    </row>
    <row r="57" spans="1:16" ht="79.2" x14ac:dyDescent="0.3">
      <c r="A57" s="5" t="s">
        <v>370</v>
      </c>
      <c r="B57" s="6" t="s">
        <v>442</v>
      </c>
      <c r="C57" s="6" t="s">
        <v>443</v>
      </c>
      <c r="D57" s="2"/>
      <c r="E57" s="2"/>
      <c r="F57" s="2"/>
      <c r="G57" s="2"/>
      <c r="H57" s="2"/>
      <c r="I57" s="2"/>
      <c r="J57" s="2"/>
      <c r="K57" s="2"/>
      <c r="L57" s="2"/>
      <c r="M57" s="2"/>
      <c r="N57" s="2"/>
      <c r="O57" s="2"/>
      <c r="P57" s="2"/>
    </row>
    <row r="58" spans="1:16" ht="145.19999999999999" x14ac:dyDescent="0.3">
      <c r="A58" s="5" t="s">
        <v>371</v>
      </c>
      <c r="B58" s="6" t="s">
        <v>444</v>
      </c>
      <c r="C58" s="6" t="s">
        <v>445</v>
      </c>
      <c r="D58" s="2"/>
      <c r="E58" s="2"/>
      <c r="F58" s="2"/>
      <c r="G58" s="2"/>
      <c r="H58" s="2"/>
      <c r="I58" s="2"/>
      <c r="J58" s="2"/>
      <c r="K58" s="2"/>
      <c r="L58" s="2"/>
      <c r="M58" s="2"/>
      <c r="N58" s="2"/>
      <c r="O58" s="2"/>
      <c r="P58" s="2"/>
    </row>
    <row r="59" spans="1:16" ht="145.19999999999999" x14ac:dyDescent="0.3">
      <c r="A59" s="5" t="s">
        <v>372</v>
      </c>
      <c r="B59" s="6" t="s">
        <v>446</v>
      </c>
      <c r="C59" s="6" t="s">
        <v>447</v>
      </c>
      <c r="D59" s="2"/>
      <c r="E59" s="2"/>
      <c r="F59" s="2"/>
      <c r="G59" s="2"/>
      <c r="H59" s="2"/>
      <c r="I59" s="2"/>
      <c r="J59" s="2"/>
      <c r="K59" s="2"/>
      <c r="L59" s="2"/>
      <c r="M59" s="2"/>
      <c r="N59" s="2"/>
      <c r="O59" s="2"/>
      <c r="P59" s="2"/>
    </row>
    <row r="60" spans="1:16" ht="171.6" x14ac:dyDescent="0.3">
      <c r="A60" s="5" t="s">
        <v>373</v>
      </c>
      <c r="B60" s="6" t="s">
        <v>448</v>
      </c>
      <c r="C60" s="6" t="s">
        <v>449</v>
      </c>
      <c r="D60" s="2"/>
      <c r="E60" s="2"/>
      <c r="F60" s="2"/>
      <c r="G60" s="2"/>
      <c r="H60" s="2"/>
      <c r="I60" s="2"/>
      <c r="J60" s="2"/>
      <c r="K60" s="2"/>
      <c r="L60" s="2"/>
      <c r="M60" s="2"/>
      <c r="N60" s="2"/>
      <c r="O60" s="2"/>
      <c r="P60" s="2"/>
    </row>
    <row r="61" spans="1:16" ht="211.2" x14ac:dyDescent="0.3">
      <c r="A61" s="5" t="s">
        <v>374</v>
      </c>
      <c r="B61" s="6" t="s">
        <v>450</v>
      </c>
      <c r="C61" s="6" t="s">
        <v>447</v>
      </c>
      <c r="D61" s="2"/>
      <c r="E61" s="2"/>
      <c r="F61" s="2"/>
      <c r="G61" s="2"/>
      <c r="H61" s="2"/>
      <c r="I61" s="2"/>
      <c r="J61" s="2"/>
      <c r="K61" s="2"/>
      <c r="L61" s="2"/>
      <c r="M61" s="2"/>
      <c r="N61" s="2"/>
      <c r="O61" s="2"/>
      <c r="P61" s="2"/>
    </row>
    <row r="62" spans="1:16" ht="105.6" x14ac:dyDescent="0.3">
      <c r="A62" s="5" t="s">
        <v>375</v>
      </c>
      <c r="B62" s="6" t="s">
        <v>451</v>
      </c>
      <c r="C62" s="6" t="s">
        <v>447</v>
      </c>
      <c r="D62" s="2"/>
      <c r="E62" s="2"/>
      <c r="F62" s="2"/>
      <c r="G62" s="2"/>
      <c r="H62" s="2"/>
      <c r="I62" s="2"/>
      <c r="J62" s="2"/>
      <c r="K62" s="2"/>
      <c r="L62" s="2"/>
      <c r="M62" s="2"/>
      <c r="N62" s="2"/>
      <c r="O62" s="2"/>
      <c r="P62" s="2"/>
    </row>
    <row r="63" spans="1:16" ht="105.6" x14ac:dyDescent="0.3">
      <c r="A63" s="5" t="s">
        <v>376</v>
      </c>
      <c r="B63" s="6" t="s">
        <v>452</v>
      </c>
      <c r="C63" s="6" t="s">
        <v>447</v>
      </c>
      <c r="D63" s="2"/>
      <c r="E63" s="2"/>
      <c r="F63" s="2"/>
      <c r="G63" s="2"/>
      <c r="H63" s="2"/>
      <c r="I63" s="2"/>
      <c r="J63" s="2"/>
      <c r="K63" s="2"/>
      <c r="L63" s="2"/>
      <c r="M63" s="2"/>
      <c r="N63" s="2"/>
      <c r="O63" s="2"/>
      <c r="P63" s="2"/>
    </row>
    <row r="64" spans="1:16" ht="105.6" x14ac:dyDescent="0.3">
      <c r="A64" s="5" t="s">
        <v>377</v>
      </c>
      <c r="B64" s="6" t="s">
        <v>453</v>
      </c>
      <c r="C64" s="6" t="s">
        <v>454</v>
      </c>
      <c r="D64" s="2"/>
      <c r="E64" s="2"/>
      <c r="F64" s="2"/>
      <c r="G64" s="2"/>
      <c r="H64" s="2"/>
      <c r="I64" s="2"/>
      <c r="J64" s="2"/>
      <c r="K64" s="2"/>
      <c r="L64" s="2"/>
      <c r="M64" s="2"/>
      <c r="N64" s="2"/>
      <c r="O64" s="2"/>
      <c r="P64" s="2"/>
    </row>
    <row r="65" spans="1:16" ht="118.8" x14ac:dyDescent="0.3">
      <c r="A65" s="5" t="s">
        <v>378</v>
      </c>
      <c r="B65" s="6" t="s">
        <v>455</v>
      </c>
      <c r="C65" s="6" t="s">
        <v>456</v>
      </c>
      <c r="D65" s="2"/>
      <c r="E65" s="2"/>
      <c r="F65" s="2"/>
      <c r="G65" s="2"/>
      <c r="H65" s="2"/>
      <c r="I65" s="2"/>
      <c r="J65" s="2"/>
      <c r="K65" s="2"/>
      <c r="L65" s="2"/>
      <c r="M65" s="2"/>
      <c r="N65" s="2"/>
      <c r="O65" s="2"/>
      <c r="P65" s="2"/>
    </row>
    <row r="66" spans="1:16" ht="158.4" x14ac:dyDescent="0.3">
      <c r="A66" s="5" t="s">
        <v>379</v>
      </c>
      <c r="B66" s="6" t="s">
        <v>457</v>
      </c>
      <c r="C66" s="6" t="s">
        <v>458</v>
      </c>
      <c r="D66" s="2"/>
      <c r="E66" s="2"/>
      <c r="F66" s="2"/>
      <c r="G66" s="2"/>
      <c r="H66" s="2"/>
      <c r="I66" s="2"/>
      <c r="J66" s="2"/>
      <c r="K66" s="2"/>
      <c r="L66" s="2"/>
      <c r="M66" s="2"/>
      <c r="N66" s="2"/>
      <c r="O66" s="2"/>
      <c r="P66" s="2"/>
    </row>
    <row r="67" spans="1:16" ht="105.6" x14ac:dyDescent="0.3">
      <c r="A67" s="5" t="s">
        <v>380</v>
      </c>
      <c r="B67" s="6" t="s">
        <v>459</v>
      </c>
      <c r="C67" s="6" t="s">
        <v>447</v>
      </c>
      <c r="D67" s="2"/>
      <c r="E67" s="2"/>
      <c r="F67" s="2"/>
      <c r="G67" s="2"/>
      <c r="H67" s="2"/>
      <c r="I67" s="2"/>
      <c r="J67" s="2"/>
      <c r="K67" s="2"/>
      <c r="L67" s="2"/>
      <c r="M67" s="2"/>
      <c r="N67" s="2"/>
      <c r="O67" s="2"/>
      <c r="P67" s="2"/>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2"/>
  <sheetViews>
    <sheetView showGridLines="0" zoomScaleNormal="100" workbookViewId="0">
      <pane ySplit="4" topLeftCell="A5" activePane="bottomLeft" state="frozen"/>
      <selection pane="bottomLeft" activeCell="B15" sqref="B15"/>
    </sheetView>
  </sheetViews>
  <sheetFormatPr defaultColWidth="8.6640625" defaultRowHeight="14.4" x14ac:dyDescent="0.3"/>
  <cols>
    <col min="1" max="1" width="30" customWidth="1"/>
    <col min="2" max="2" width="80" customWidth="1"/>
    <col min="3" max="3" width="44" customWidth="1"/>
    <col min="4" max="4" width="16" customWidth="1"/>
  </cols>
  <sheetData>
    <row r="1" spans="1:4" ht="17.399999999999999" x14ac:dyDescent="0.3">
      <c r="A1" s="1" t="s">
        <v>460</v>
      </c>
      <c r="B1" s="2"/>
      <c r="C1" s="2"/>
      <c r="D1" s="2"/>
    </row>
    <row r="2" spans="1:4" x14ac:dyDescent="0.3">
      <c r="A2" s="3" t="s">
        <v>461</v>
      </c>
      <c r="B2" s="2"/>
      <c r="C2" s="2"/>
      <c r="D2" s="2"/>
    </row>
    <row r="3" spans="1:4" x14ac:dyDescent="0.3">
      <c r="A3" s="2"/>
      <c r="B3" s="2"/>
      <c r="C3" s="2"/>
      <c r="D3" s="2"/>
    </row>
    <row r="4" spans="1:4" x14ac:dyDescent="0.3">
      <c r="A4" s="4" t="s">
        <v>462</v>
      </c>
      <c r="B4" s="4" t="s">
        <v>463</v>
      </c>
      <c r="C4" s="4" t="s">
        <v>464</v>
      </c>
      <c r="D4" s="4" t="s">
        <v>465</v>
      </c>
    </row>
    <row r="5" spans="1:4" x14ac:dyDescent="0.3">
      <c r="A5" s="6" t="s">
        <v>28</v>
      </c>
      <c r="B5" s="6" t="s">
        <v>466</v>
      </c>
      <c r="C5" s="6" t="s">
        <v>467</v>
      </c>
      <c r="D5" s="5" t="s">
        <v>468</v>
      </c>
    </row>
    <row r="6" spans="1:4" x14ac:dyDescent="0.3">
      <c r="A6" s="6" t="s">
        <v>29</v>
      </c>
      <c r="B6" s="6" t="s">
        <v>469</v>
      </c>
      <c r="C6" s="6" t="s">
        <v>467</v>
      </c>
      <c r="D6" s="5" t="s">
        <v>468</v>
      </c>
    </row>
    <row r="7" spans="1:4" x14ac:dyDescent="0.3">
      <c r="A7" s="6" t="s">
        <v>30</v>
      </c>
      <c r="B7" s="6" t="s">
        <v>470</v>
      </c>
      <c r="C7" s="6" t="s">
        <v>471</v>
      </c>
      <c r="D7" s="5" t="s">
        <v>472</v>
      </c>
    </row>
    <row r="8" spans="1:4" ht="26.4" x14ac:dyDescent="0.3">
      <c r="A8" s="6" t="s">
        <v>31</v>
      </c>
      <c r="B8" s="6" t="s">
        <v>473</v>
      </c>
      <c r="C8" s="6" t="s">
        <v>474</v>
      </c>
      <c r="D8" s="5" t="s">
        <v>472</v>
      </c>
    </row>
    <row r="9" spans="1:4" ht="26.4" x14ac:dyDescent="0.3">
      <c r="A9" s="6" t="s">
        <v>32</v>
      </c>
      <c r="B9" s="6" t="s">
        <v>475</v>
      </c>
      <c r="C9" s="6" t="s">
        <v>447</v>
      </c>
      <c r="D9" s="5" t="s">
        <v>472</v>
      </c>
    </row>
    <row r="10" spans="1:4" x14ac:dyDescent="0.3">
      <c r="A10" s="6" t="s">
        <v>33</v>
      </c>
      <c r="B10" s="6" t="s">
        <v>476</v>
      </c>
      <c r="C10" s="6" t="s">
        <v>477</v>
      </c>
      <c r="D10" s="5" t="s">
        <v>6</v>
      </c>
    </row>
    <row r="11" spans="1:4" x14ac:dyDescent="0.3">
      <c r="A11" s="6" t="s">
        <v>34</v>
      </c>
      <c r="B11" s="6" t="s">
        <v>478</v>
      </c>
      <c r="C11" s="6" t="s">
        <v>479</v>
      </c>
      <c r="D11" s="5" t="s">
        <v>468</v>
      </c>
    </row>
    <row r="12" spans="1:4" x14ac:dyDescent="0.3">
      <c r="A12" s="6" t="s">
        <v>35</v>
      </c>
      <c r="B12" s="6" t="s">
        <v>480</v>
      </c>
      <c r="C12" s="6" t="s">
        <v>481</v>
      </c>
      <c r="D12" s="5" t="s">
        <v>468</v>
      </c>
    </row>
    <row r="13" spans="1:4" ht="52.8" x14ac:dyDescent="0.3">
      <c r="A13" s="6" t="s">
        <v>36</v>
      </c>
      <c r="B13" s="6" t="s">
        <v>482</v>
      </c>
      <c r="C13" s="6" t="s">
        <v>483</v>
      </c>
      <c r="D13" s="5" t="s">
        <v>484</v>
      </c>
    </row>
    <row r="14" spans="1:4" x14ac:dyDescent="0.3">
      <c r="A14" s="6" t="s">
        <v>37</v>
      </c>
      <c r="B14" s="6" t="s">
        <v>485</v>
      </c>
      <c r="C14" s="6" t="s">
        <v>447</v>
      </c>
      <c r="D14" s="5" t="s">
        <v>468</v>
      </c>
    </row>
    <row r="15" spans="1:4" ht="26.4" x14ac:dyDescent="0.3">
      <c r="A15" s="6" t="s">
        <v>38</v>
      </c>
      <c r="B15" s="6" t="s">
        <v>486</v>
      </c>
      <c r="C15" s="6" t="s">
        <v>447</v>
      </c>
      <c r="D15" s="5" t="s">
        <v>487</v>
      </c>
    </row>
    <row r="16" spans="1:4" x14ac:dyDescent="0.3">
      <c r="A16" s="6" t="s">
        <v>39</v>
      </c>
      <c r="B16" s="6" t="s">
        <v>488</v>
      </c>
      <c r="C16" s="6" t="s">
        <v>489</v>
      </c>
      <c r="D16" s="5" t="s">
        <v>487</v>
      </c>
    </row>
    <row r="17" spans="1:4" x14ac:dyDescent="0.3">
      <c r="A17" s="6" t="s">
        <v>40</v>
      </c>
      <c r="B17" s="6" t="s">
        <v>490</v>
      </c>
      <c r="C17" s="6" t="s">
        <v>491</v>
      </c>
      <c r="D17" s="5" t="s">
        <v>492</v>
      </c>
    </row>
    <row r="18" spans="1:4" ht="39.6" x14ac:dyDescent="0.3">
      <c r="A18" s="6" t="s">
        <v>41</v>
      </c>
      <c r="B18" s="6" t="s">
        <v>493</v>
      </c>
      <c r="C18" s="6" t="s">
        <v>494</v>
      </c>
      <c r="D18" s="5" t="s">
        <v>495</v>
      </c>
    </row>
    <row r="19" spans="1:4" ht="26.4" x14ac:dyDescent="0.3">
      <c r="A19" s="6" t="s">
        <v>42</v>
      </c>
      <c r="B19" s="6" t="s">
        <v>496</v>
      </c>
      <c r="C19" s="6" t="s">
        <v>497</v>
      </c>
      <c r="D19" s="5" t="s">
        <v>498</v>
      </c>
    </row>
    <row r="20" spans="1:4" ht="26.4" x14ac:dyDescent="0.3">
      <c r="A20" s="6" t="s">
        <v>43</v>
      </c>
      <c r="B20" s="6" t="s">
        <v>499</v>
      </c>
      <c r="C20" s="6" t="s">
        <v>500</v>
      </c>
      <c r="D20" s="5" t="s">
        <v>492</v>
      </c>
    </row>
    <row r="21" spans="1:4" ht="26.4" x14ac:dyDescent="0.3">
      <c r="A21" s="6" t="s">
        <v>44</v>
      </c>
      <c r="B21" s="6" t="s">
        <v>501</v>
      </c>
      <c r="C21" s="6" t="s">
        <v>502</v>
      </c>
      <c r="D21" s="5" t="s">
        <v>498</v>
      </c>
    </row>
    <row r="22" spans="1:4" ht="26.4" x14ac:dyDescent="0.3">
      <c r="A22" s="6" t="s">
        <v>45</v>
      </c>
      <c r="B22" s="6" t="s">
        <v>503</v>
      </c>
      <c r="C22" s="6" t="s">
        <v>504</v>
      </c>
      <c r="D22" s="5" t="s">
        <v>505</v>
      </c>
    </row>
    <row r="23" spans="1:4" ht="26.4" x14ac:dyDescent="0.3">
      <c r="A23" s="6" t="s">
        <v>506</v>
      </c>
      <c r="B23" s="6" t="s">
        <v>507</v>
      </c>
      <c r="C23" s="6" t="s">
        <v>508</v>
      </c>
      <c r="D23" s="5" t="s">
        <v>509</v>
      </c>
    </row>
    <row r="24" spans="1:4" ht="26.4" x14ac:dyDescent="0.3">
      <c r="A24" s="6" t="s">
        <v>510</v>
      </c>
      <c r="B24" s="6" t="s">
        <v>511</v>
      </c>
      <c r="C24" s="6" t="s">
        <v>508</v>
      </c>
      <c r="D24" s="5" t="s">
        <v>509</v>
      </c>
    </row>
    <row r="25" spans="1:4" ht="26.4" x14ac:dyDescent="0.3">
      <c r="A25" s="6" t="s">
        <v>512</v>
      </c>
      <c r="B25" s="6" t="s">
        <v>513</v>
      </c>
      <c r="C25" s="6" t="s">
        <v>508</v>
      </c>
      <c r="D25" s="5" t="s">
        <v>505</v>
      </c>
    </row>
    <row r="26" spans="1:4" x14ac:dyDescent="0.3">
      <c r="A26" s="6" t="s">
        <v>56</v>
      </c>
      <c r="B26" s="6" t="s">
        <v>514</v>
      </c>
      <c r="C26" s="6" t="s">
        <v>489</v>
      </c>
      <c r="D26" s="5" t="s">
        <v>492</v>
      </c>
    </row>
    <row r="27" spans="1:4" x14ac:dyDescent="0.3">
      <c r="A27" s="6" t="s">
        <v>57</v>
      </c>
      <c r="B27" s="6" t="s">
        <v>515</v>
      </c>
      <c r="C27" s="6" t="s">
        <v>516</v>
      </c>
      <c r="D27" s="5" t="s">
        <v>517</v>
      </c>
    </row>
    <row r="28" spans="1:4" x14ac:dyDescent="0.3">
      <c r="A28" s="6" t="s">
        <v>58</v>
      </c>
      <c r="B28" s="6" t="s">
        <v>518</v>
      </c>
      <c r="C28" s="6" t="s">
        <v>508</v>
      </c>
      <c r="D28" s="5" t="s">
        <v>519</v>
      </c>
    </row>
    <row r="29" spans="1:4" ht="26.4" x14ac:dyDescent="0.3">
      <c r="A29" s="6" t="s">
        <v>59</v>
      </c>
      <c r="B29" s="6" t="s">
        <v>520</v>
      </c>
      <c r="C29" s="6" t="s">
        <v>516</v>
      </c>
      <c r="D29" s="5" t="s">
        <v>521</v>
      </c>
    </row>
    <row r="30" spans="1:4" x14ac:dyDescent="0.3">
      <c r="A30" s="6" t="s">
        <v>60</v>
      </c>
      <c r="B30" s="6" t="s">
        <v>522</v>
      </c>
      <c r="C30" s="6" t="s">
        <v>523</v>
      </c>
      <c r="D30" s="5" t="s">
        <v>524</v>
      </c>
    </row>
    <row r="31" spans="1:4" ht="26.4" x14ac:dyDescent="0.3">
      <c r="A31" s="6" t="s">
        <v>61</v>
      </c>
      <c r="B31" s="6" t="s">
        <v>525</v>
      </c>
      <c r="C31" s="6" t="s">
        <v>508</v>
      </c>
      <c r="D31" s="5" t="s">
        <v>526</v>
      </c>
    </row>
    <row r="32" spans="1:4" ht="39.6" x14ac:dyDescent="0.3">
      <c r="A32" s="6" t="s">
        <v>527</v>
      </c>
      <c r="B32" s="6" t="s">
        <v>528</v>
      </c>
      <c r="C32" s="6" t="s">
        <v>508</v>
      </c>
      <c r="D32" s="5" t="s">
        <v>509</v>
      </c>
    </row>
    <row r="33" spans="1:4" x14ac:dyDescent="0.3">
      <c r="A33" s="6" t="s">
        <v>65</v>
      </c>
      <c r="B33" s="6" t="s">
        <v>529</v>
      </c>
      <c r="C33" s="6" t="s">
        <v>530</v>
      </c>
      <c r="D33" s="5" t="s">
        <v>505</v>
      </c>
    </row>
    <row r="34" spans="1:4" x14ac:dyDescent="0.3">
      <c r="A34" s="6" t="s">
        <v>66</v>
      </c>
      <c r="B34" s="6" t="s">
        <v>531</v>
      </c>
      <c r="C34" s="6" t="s">
        <v>467</v>
      </c>
      <c r="D34" s="5" t="s">
        <v>468</v>
      </c>
    </row>
    <row r="35" spans="1:4" ht="26.4" x14ac:dyDescent="0.3">
      <c r="A35" s="6" t="s">
        <v>532</v>
      </c>
      <c r="B35" s="6" t="s">
        <v>533</v>
      </c>
      <c r="C35" s="6" t="s">
        <v>534</v>
      </c>
      <c r="D35" s="5" t="s">
        <v>535</v>
      </c>
    </row>
    <row r="36" spans="1:4" x14ac:dyDescent="0.3">
      <c r="A36" s="6" t="s">
        <v>72</v>
      </c>
      <c r="B36" s="6" t="s">
        <v>536</v>
      </c>
      <c r="C36" s="6" t="s">
        <v>537</v>
      </c>
      <c r="D36" s="5" t="s">
        <v>535</v>
      </c>
    </row>
    <row r="37" spans="1:4" ht="26.4" x14ac:dyDescent="0.3">
      <c r="A37" s="6" t="s">
        <v>538</v>
      </c>
      <c r="B37" s="6" t="s">
        <v>539</v>
      </c>
      <c r="C37" s="6" t="s">
        <v>534</v>
      </c>
      <c r="D37" s="5" t="s">
        <v>535</v>
      </c>
    </row>
    <row r="38" spans="1:4" x14ac:dyDescent="0.3">
      <c r="A38" s="6" t="s">
        <v>540</v>
      </c>
      <c r="B38" s="6" t="s">
        <v>541</v>
      </c>
      <c r="C38" s="6" t="s">
        <v>542</v>
      </c>
      <c r="D38" s="5" t="s">
        <v>535</v>
      </c>
    </row>
    <row r="39" spans="1:4" x14ac:dyDescent="0.3">
      <c r="A39" s="6" t="s">
        <v>77</v>
      </c>
      <c r="B39" s="6" t="s">
        <v>543</v>
      </c>
      <c r="C39" s="6" t="s">
        <v>544</v>
      </c>
      <c r="D39" s="5" t="s">
        <v>545</v>
      </c>
    </row>
    <row r="40" spans="1:4" x14ac:dyDescent="0.3">
      <c r="A40" s="2"/>
      <c r="B40" s="2"/>
      <c r="C40" s="2"/>
      <c r="D40" s="2"/>
    </row>
    <row r="41" spans="1:4" x14ac:dyDescent="0.3">
      <c r="A41" s="2"/>
      <c r="B41" s="2"/>
      <c r="C41" s="2"/>
      <c r="D41" s="2"/>
    </row>
    <row r="42" spans="1:4" x14ac:dyDescent="0.3">
      <c r="A42" s="10" t="s">
        <v>546</v>
      </c>
      <c r="B42" s="2"/>
      <c r="C42" s="2"/>
      <c r="D42" s="2"/>
    </row>
    <row r="43" spans="1:4" x14ac:dyDescent="0.3">
      <c r="A43" s="4" t="s">
        <v>547</v>
      </c>
      <c r="B43" s="4" t="s">
        <v>548</v>
      </c>
      <c r="C43" s="4" t="s">
        <v>549</v>
      </c>
      <c r="D43" s="4" t="s">
        <v>550</v>
      </c>
    </row>
    <row r="44" spans="1:4" ht="66" x14ac:dyDescent="0.3">
      <c r="A44" s="5">
        <v>1</v>
      </c>
      <c r="B44" s="6" t="s">
        <v>551</v>
      </c>
      <c r="C44" s="6" t="s">
        <v>552</v>
      </c>
      <c r="D44" s="5" t="s">
        <v>553</v>
      </c>
    </row>
    <row r="45" spans="1:4" ht="39.6" x14ac:dyDescent="0.3">
      <c r="A45" s="5">
        <v>2</v>
      </c>
      <c r="B45" s="6" t="s">
        <v>554</v>
      </c>
      <c r="C45" s="6" t="s">
        <v>36</v>
      </c>
      <c r="D45" s="5" t="s">
        <v>555</v>
      </c>
    </row>
    <row r="46" spans="1:4" ht="52.8" x14ac:dyDescent="0.3">
      <c r="A46" s="5">
        <v>3</v>
      </c>
      <c r="B46" s="6" t="s">
        <v>556</v>
      </c>
      <c r="C46" s="6" t="s">
        <v>41</v>
      </c>
      <c r="D46" s="5" t="s">
        <v>557</v>
      </c>
    </row>
    <row r="47" spans="1:4" ht="26.4" x14ac:dyDescent="0.3">
      <c r="A47" s="5">
        <v>4</v>
      </c>
      <c r="B47" s="6" t="s">
        <v>558</v>
      </c>
      <c r="C47" s="6" t="s">
        <v>66</v>
      </c>
      <c r="D47" s="5" t="s">
        <v>555</v>
      </c>
    </row>
    <row r="48" spans="1:4" ht="52.8" x14ac:dyDescent="0.3">
      <c r="A48" s="5">
        <v>5</v>
      </c>
      <c r="B48" s="6" t="s">
        <v>559</v>
      </c>
      <c r="C48" s="6" t="s">
        <v>560</v>
      </c>
      <c r="D48" s="5" t="s">
        <v>555</v>
      </c>
    </row>
    <row r="49" spans="1:4" ht="52.8" x14ac:dyDescent="0.3">
      <c r="A49" s="5">
        <v>6</v>
      </c>
      <c r="B49" s="6" t="s">
        <v>561</v>
      </c>
      <c r="C49" s="6" t="s">
        <v>562</v>
      </c>
      <c r="D49" s="5" t="s">
        <v>553</v>
      </c>
    </row>
    <row r="50" spans="1:4" ht="26.4" x14ac:dyDescent="0.3">
      <c r="A50" s="5">
        <v>7</v>
      </c>
      <c r="B50" s="6" t="s">
        <v>563</v>
      </c>
      <c r="C50" s="6" t="s">
        <v>468</v>
      </c>
      <c r="D50" s="5" t="s">
        <v>555</v>
      </c>
    </row>
    <row r="51" spans="1:4" ht="39.6" x14ac:dyDescent="0.3">
      <c r="A51" s="5">
        <v>8</v>
      </c>
      <c r="B51" s="6" t="s">
        <v>564</v>
      </c>
      <c r="C51" s="6" t="s">
        <v>565</v>
      </c>
      <c r="D51" s="5" t="s">
        <v>555</v>
      </c>
    </row>
    <row r="52" spans="1:4" ht="26.4" x14ac:dyDescent="0.3">
      <c r="A52" s="5">
        <v>9</v>
      </c>
      <c r="B52" s="6" t="s">
        <v>566</v>
      </c>
      <c r="C52" s="6" t="s">
        <v>567</v>
      </c>
      <c r="D52" s="5" t="s">
        <v>555</v>
      </c>
    </row>
    <row r="53" spans="1:4" ht="39.6" x14ac:dyDescent="0.3">
      <c r="A53" s="5">
        <v>10</v>
      </c>
      <c r="B53" s="6" t="s">
        <v>568</v>
      </c>
      <c r="C53" s="6" t="s">
        <v>569</v>
      </c>
      <c r="D53" s="5" t="s">
        <v>555</v>
      </c>
    </row>
    <row r="54" spans="1:4" ht="26.4" x14ac:dyDescent="0.3">
      <c r="A54" s="5">
        <v>11</v>
      </c>
      <c r="B54" s="6" t="s">
        <v>570</v>
      </c>
      <c r="C54" s="6" t="s">
        <v>571</v>
      </c>
      <c r="D54" s="5" t="s">
        <v>555</v>
      </c>
    </row>
    <row r="55" spans="1:4" ht="39.6" x14ac:dyDescent="0.3">
      <c r="A55" s="5">
        <v>12</v>
      </c>
      <c r="B55" s="6" t="s">
        <v>572</v>
      </c>
      <c r="C55" s="6" t="s">
        <v>36</v>
      </c>
      <c r="D55" s="5" t="s">
        <v>555</v>
      </c>
    </row>
    <row r="56" spans="1:4" ht="39.6" x14ac:dyDescent="0.3">
      <c r="A56" s="5">
        <v>13</v>
      </c>
      <c r="B56" s="6" t="s">
        <v>573</v>
      </c>
      <c r="C56" s="6" t="s">
        <v>42</v>
      </c>
      <c r="D56" s="5" t="s">
        <v>555</v>
      </c>
    </row>
    <row r="57" spans="1:4" ht="39.6" x14ac:dyDescent="0.3">
      <c r="A57" s="5">
        <v>14</v>
      </c>
      <c r="B57" s="6" t="s">
        <v>574</v>
      </c>
      <c r="C57" s="6" t="s">
        <v>575</v>
      </c>
      <c r="D57" s="5" t="s">
        <v>555</v>
      </c>
    </row>
    <row r="58" spans="1:4" ht="52.8" x14ac:dyDescent="0.3">
      <c r="A58" s="5">
        <v>15</v>
      </c>
      <c r="B58" s="6" t="s">
        <v>576</v>
      </c>
      <c r="C58" s="6" t="s">
        <v>577</v>
      </c>
      <c r="D58" s="5" t="s">
        <v>555</v>
      </c>
    </row>
    <row r="59" spans="1:4" ht="26.4" x14ac:dyDescent="0.3">
      <c r="A59" s="5">
        <v>16</v>
      </c>
      <c r="B59" s="6" t="s">
        <v>578</v>
      </c>
      <c r="C59" s="6" t="s">
        <v>41</v>
      </c>
      <c r="D59" s="5" t="s">
        <v>555</v>
      </c>
    </row>
    <row r="60" spans="1:4" ht="26.4" x14ac:dyDescent="0.3">
      <c r="A60" s="5">
        <v>17</v>
      </c>
      <c r="B60" s="6" t="s">
        <v>579</v>
      </c>
      <c r="C60" s="6" t="s">
        <v>580</v>
      </c>
      <c r="D60" s="5" t="s">
        <v>555</v>
      </c>
    </row>
    <row r="61" spans="1:4" ht="26.4" x14ac:dyDescent="0.3">
      <c r="A61" s="5">
        <v>18</v>
      </c>
      <c r="B61" s="6" t="s">
        <v>581</v>
      </c>
      <c r="C61" s="6" t="s">
        <v>48</v>
      </c>
      <c r="D61" s="5" t="s">
        <v>555</v>
      </c>
    </row>
    <row r="62" spans="1:4" ht="52.8" x14ac:dyDescent="0.3">
      <c r="A62" s="5">
        <v>19</v>
      </c>
      <c r="B62" s="6" t="s">
        <v>582</v>
      </c>
      <c r="C62" s="6" t="s">
        <v>583</v>
      </c>
      <c r="D62" s="5" t="s">
        <v>584</v>
      </c>
    </row>
    <row r="63" spans="1:4" ht="39.6" x14ac:dyDescent="0.3">
      <c r="A63" s="5">
        <v>20</v>
      </c>
      <c r="B63" s="6" t="s">
        <v>585</v>
      </c>
      <c r="C63" s="6" t="s">
        <v>586</v>
      </c>
      <c r="D63" s="5" t="s">
        <v>584</v>
      </c>
    </row>
    <row r="64" spans="1:4" ht="39.6" x14ac:dyDescent="0.3">
      <c r="A64" s="5">
        <v>21</v>
      </c>
      <c r="B64" s="6" t="s">
        <v>587</v>
      </c>
      <c r="C64" s="6" t="s">
        <v>57</v>
      </c>
      <c r="D64" s="5" t="s">
        <v>584</v>
      </c>
    </row>
    <row r="65" spans="1:4" ht="39.6" x14ac:dyDescent="0.3">
      <c r="A65" s="5">
        <v>22</v>
      </c>
      <c r="B65" s="6" t="s">
        <v>588</v>
      </c>
      <c r="C65" s="6" t="s">
        <v>58</v>
      </c>
      <c r="D65" s="5" t="s">
        <v>584</v>
      </c>
    </row>
    <row r="66" spans="1:4" ht="52.8" x14ac:dyDescent="0.3">
      <c r="A66" s="5">
        <v>23</v>
      </c>
      <c r="B66" s="6" t="s">
        <v>589</v>
      </c>
      <c r="C66" s="6" t="s">
        <v>59</v>
      </c>
      <c r="D66" s="5" t="s">
        <v>584</v>
      </c>
    </row>
    <row r="67" spans="1:4" ht="39.6" x14ac:dyDescent="0.3">
      <c r="A67" s="5">
        <v>24</v>
      </c>
      <c r="B67" s="6" t="s">
        <v>590</v>
      </c>
      <c r="C67" s="6" t="s">
        <v>44</v>
      </c>
      <c r="D67" s="5" t="s">
        <v>584</v>
      </c>
    </row>
    <row r="68" spans="1:4" ht="39.6" x14ac:dyDescent="0.3">
      <c r="A68" s="5">
        <v>25</v>
      </c>
      <c r="B68" s="6" t="s">
        <v>591</v>
      </c>
      <c r="C68" s="6" t="s">
        <v>580</v>
      </c>
      <c r="D68" s="5" t="s">
        <v>584</v>
      </c>
    </row>
    <row r="69" spans="1:4" ht="39.6" x14ac:dyDescent="0.3">
      <c r="A69" s="5">
        <v>26</v>
      </c>
      <c r="B69" s="6" t="s">
        <v>592</v>
      </c>
      <c r="C69" s="6" t="s">
        <v>593</v>
      </c>
      <c r="D69" s="5" t="s">
        <v>584</v>
      </c>
    </row>
    <row r="70" spans="1:4" ht="26.4" x14ac:dyDescent="0.3">
      <c r="A70" s="5">
        <v>27</v>
      </c>
      <c r="B70" s="6" t="s">
        <v>594</v>
      </c>
      <c r="C70" s="6" t="s">
        <v>595</v>
      </c>
      <c r="D70" s="5" t="s">
        <v>584</v>
      </c>
    </row>
    <row r="71" spans="1:4" ht="26.4" x14ac:dyDescent="0.3">
      <c r="A71" s="5">
        <v>28</v>
      </c>
      <c r="B71" s="6" t="s">
        <v>596</v>
      </c>
      <c r="C71" s="6" t="s">
        <v>597</v>
      </c>
      <c r="D71" s="5" t="s">
        <v>584</v>
      </c>
    </row>
    <row r="72" spans="1:4" ht="26.4" x14ac:dyDescent="0.3">
      <c r="A72" s="5">
        <v>29</v>
      </c>
      <c r="B72" s="6" t="s">
        <v>598</v>
      </c>
      <c r="C72" s="6" t="s">
        <v>595</v>
      </c>
      <c r="D72" s="5" t="s">
        <v>584</v>
      </c>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showGridLines="0" zoomScaleNormal="100" workbookViewId="0">
      <selection activeCell="C8" sqref="C8"/>
    </sheetView>
  </sheetViews>
  <sheetFormatPr defaultColWidth="8.6640625" defaultRowHeight="14.4" x14ac:dyDescent="0.3"/>
  <cols>
    <col min="1" max="1" width="34" customWidth="1"/>
    <col min="2" max="3" width="10" customWidth="1"/>
  </cols>
  <sheetData>
    <row r="1" spans="1:3" ht="17.399999999999999" x14ac:dyDescent="0.3">
      <c r="A1" s="1" t="s">
        <v>599</v>
      </c>
      <c r="B1" s="2"/>
      <c r="C1" s="2"/>
    </row>
    <row r="2" spans="1:3" x14ac:dyDescent="0.3">
      <c r="A2" s="3" t="s">
        <v>600</v>
      </c>
      <c r="B2" s="2"/>
      <c r="C2" s="2"/>
    </row>
    <row r="3" spans="1:3" x14ac:dyDescent="0.3">
      <c r="A3" s="2"/>
      <c r="B3" s="2"/>
      <c r="C3" s="2"/>
    </row>
    <row r="4" spans="1:3" x14ac:dyDescent="0.3">
      <c r="A4" s="4" t="s">
        <v>550</v>
      </c>
      <c r="B4" s="4" t="s">
        <v>601</v>
      </c>
      <c r="C4" s="4" t="s">
        <v>602</v>
      </c>
    </row>
    <row r="5" spans="1:3" x14ac:dyDescent="0.3">
      <c r="A5" s="5" t="s">
        <v>603</v>
      </c>
      <c r="B5" s="5">
        <f>COUNTIF(tblData[ISSA-ready],"Y")</f>
        <v>4</v>
      </c>
      <c r="C5" s="11">
        <f>IF(INDEX(tblEx1[Issuers],5)=0,"",tblEx1[[#This Row],[Issuers]]/INDEX(tblEx1[Issuers],5))</f>
        <v>8.8888888888888892E-2</v>
      </c>
    </row>
    <row r="6" spans="1:3" x14ac:dyDescent="0.3">
      <c r="A6" s="5" t="s">
        <v>604</v>
      </c>
      <c r="B6" s="5">
        <f>COUNTIFS(tblData[Assurance category],"Independent assurance",tblData[ISSA-ready],"N")</f>
        <v>22</v>
      </c>
      <c r="C6" s="11">
        <f>IF(INDEX(tblEx1[Issuers],5)=0,"",tblEx1[[#This Row],[Issuers]]/INDEX(tblEx1[Issuers],5))</f>
        <v>0.48888888888888887</v>
      </c>
    </row>
    <row r="7" spans="1:3" x14ac:dyDescent="0.3">
      <c r="A7" s="5" t="s">
        <v>107</v>
      </c>
      <c r="B7" s="5">
        <f>COUNTIF(tblData[Assurance category],"Verification only")</f>
        <v>1</v>
      </c>
      <c r="C7" s="11">
        <f>IF(INDEX(tblEx1[Issuers],5)=0,"",tblEx1[[#This Row],[Issuers]]/INDEX(tblEx1[Issuers],5))</f>
        <v>2.2222222222222223E-2</v>
      </c>
    </row>
    <row r="8" spans="1:3" x14ac:dyDescent="0.3">
      <c r="A8" s="5" t="s">
        <v>605</v>
      </c>
      <c r="B8" s="5">
        <f>COUNTIF(tblData[External statement],"N")</f>
        <v>18</v>
      </c>
      <c r="C8" s="11">
        <f>IF(INDEX(tblEx1[Issuers],5)=0,"",tblEx1[[#This Row],[Issuers]]/INDEX(tblEx1[Issuers],5))</f>
        <v>0.4</v>
      </c>
    </row>
    <row r="9" spans="1:3" x14ac:dyDescent="0.3">
      <c r="A9" s="5" t="s">
        <v>606</v>
      </c>
      <c r="B9" s="5">
        <f>ROWS(tblData[Ticker])</f>
        <v>45</v>
      </c>
      <c r="C9" s="11">
        <f>IF(INDEX(tblEx1[Issuers],5)=0,"",tblEx1[[#This Row],[Issuers]]/INDEX(tblEx1[Issuers],5))</f>
        <v>1</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zoomScaleNormal="100" workbookViewId="0">
      <selection activeCell="B9" sqref="B9"/>
    </sheetView>
  </sheetViews>
  <sheetFormatPr defaultColWidth="8.6640625" defaultRowHeight="14.4" x14ac:dyDescent="0.3"/>
  <cols>
    <col min="1" max="1" width="44" customWidth="1"/>
    <col min="2" max="2" width="22" customWidth="1"/>
    <col min="3" max="3" width="14" customWidth="1"/>
    <col min="4" max="4" width="60" customWidth="1"/>
  </cols>
  <sheetData>
    <row r="1" spans="1:4" ht="17.399999999999999" x14ac:dyDescent="0.3">
      <c r="A1" s="1" t="s">
        <v>607</v>
      </c>
      <c r="B1" s="2"/>
      <c r="C1" s="2"/>
      <c r="D1" s="2"/>
    </row>
    <row r="2" spans="1:4" x14ac:dyDescent="0.3">
      <c r="A2" s="3" t="s">
        <v>608</v>
      </c>
      <c r="B2" s="2"/>
      <c r="C2" s="2"/>
      <c r="D2" s="2"/>
    </row>
    <row r="3" spans="1:4" x14ac:dyDescent="0.3">
      <c r="A3" s="2"/>
      <c r="B3" s="2"/>
      <c r="C3" s="2"/>
      <c r="D3" s="2"/>
    </row>
    <row r="4" spans="1:4" x14ac:dyDescent="0.3">
      <c r="A4" s="4" t="s">
        <v>609</v>
      </c>
      <c r="B4" s="4" t="s">
        <v>610</v>
      </c>
      <c r="C4" s="4" t="s">
        <v>481</v>
      </c>
      <c r="D4" s="4" t="s">
        <v>611</v>
      </c>
    </row>
    <row r="5" spans="1:4" x14ac:dyDescent="0.3">
      <c r="A5" s="5" t="s">
        <v>612</v>
      </c>
      <c r="B5" s="5" t="s">
        <v>613</v>
      </c>
      <c r="C5" s="5" t="s">
        <v>614</v>
      </c>
      <c r="D5" s="6" t="s">
        <v>615</v>
      </c>
    </row>
    <row r="6" spans="1:4" x14ac:dyDescent="0.3">
      <c r="A6" s="5" t="s">
        <v>616</v>
      </c>
      <c r="B6" s="5" t="s">
        <v>617</v>
      </c>
      <c r="C6" s="5" t="s">
        <v>618</v>
      </c>
      <c r="D6" s="6" t="s">
        <v>619</v>
      </c>
    </row>
    <row r="7" spans="1:4" x14ac:dyDescent="0.3">
      <c r="A7" s="5" t="s">
        <v>620</v>
      </c>
      <c r="B7" s="5" t="s">
        <v>621</v>
      </c>
      <c r="C7" s="5" t="s">
        <v>622</v>
      </c>
      <c r="D7" s="6" t="s">
        <v>623</v>
      </c>
    </row>
    <row r="8" spans="1:4" x14ac:dyDescent="0.3">
      <c r="A8" s="5" t="s">
        <v>624</v>
      </c>
      <c r="B8" s="5" t="s">
        <v>625</v>
      </c>
      <c r="C8" s="5" t="s">
        <v>626</v>
      </c>
      <c r="D8" s="6" t="s">
        <v>627</v>
      </c>
    </row>
    <row r="9" spans="1:4" x14ac:dyDescent="0.3">
      <c r="A9" s="5" t="s">
        <v>628</v>
      </c>
      <c r="B9" s="5" t="s">
        <v>629</v>
      </c>
      <c r="C9" s="5" t="s">
        <v>630</v>
      </c>
      <c r="D9" s="6" t="s">
        <v>631</v>
      </c>
    </row>
    <row r="10" spans="1:4" x14ac:dyDescent="0.3">
      <c r="A10" s="5" t="s">
        <v>632</v>
      </c>
      <c r="B10" s="5" t="s">
        <v>633</v>
      </c>
      <c r="C10" s="5" t="s">
        <v>634</v>
      </c>
      <c r="D10" s="6" t="s">
        <v>635</v>
      </c>
    </row>
    <row r="11" spans="1:4" x14ac:dyDescent="0.3">
      <c r="A11" s="5" t="s">
        <v>636</v>
      </c>
      <c r="B11" s="5" t="s">
        <v>637</v>
      </c>
      <c r="C11" s="5" t="s">
        <v>638</v>
      </c>
      <c r="D11" s="6" t="s">
        <v>639</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5"/>
  <sheetViews>
    <sheetView showGridLines="0" topLeftCell="A22" zoomScaleNormal="100" workbookViewId="0">
      <selection activeCell="C24" sqref="C24"/>
    </sheetView>
  </sheetViews>
  <sheetFormatPr defaultColWidth="8.6640625" defaultRowHeight="14.4" x14ac:dyDescent="0.3"/>
  <cols>
    <col min="1" max="1" width="30" customWidth="1"/>
    <col min="2" max="2" width="10" customWidth="1"/>
    <col min="3" max="3" width="14" customWidth="1"/>
    <col min="4" max="4" width="10" customWidth="1"/>
  </cols>
  <sheetData>
    <row r="1" spans="1:4" ht="17.399999999999999" x14ac:dyDescent="0.3">
      <c r="A1" s="1" t="s">
        <v>640</v>
      </c>
      <c r="B1" s="2"/>
      <c r="C1" s="2"/>
      <c r="D1" s="2"/>
    </row>
    <row r="2" spans="1:4" x14ac:dyDescent="0.3">
      <c r="A2" s="3" t="s">
        <v>641</v>
      </c>
      <c r="B2" s="2"/>
      <c r="C2" s="2"/>
      <c r="D2" s="2"/>
    </row>
    <row r="3" spans="1:4" x14ac:dyDescent="0.3">
      <c r="A3" s="2"/>
      <c r="B3" s="2"/>
      <c r="C3" s="2"/>
      <c r="D3" s="2"/>
    </row>
    <row r="4" spans="1:4" ht="26.4" x14ac:dyDescent="0.3">
      <c r="A4" s="4" t="s">
        <v>642</v>
      </c>
      <c r="B4" s="4" t="s">
        <v>601</v>
      </c>
      <c r="C4" s="4" t="s">
        <v>643</v>
      </c>
      <c r="D4" s="4" t="s">
        <v>602</v>
      </c>
    </row>
    <row r="5" spans="1:4" x14ac:dyDescent="0.3">
      <c r="A5" s="5" t="s">
        <v>32</v>
      </c>
      <c r="B5" s="5">
        <f>COUNTIF(tblData[State-owned],"Y")</f>
        <v>9</v>
      </c>
      <c r="C5" s="5">
        <f>COUNTIFS(tblData[State-owned],"Y",tblData[External statement],"Y")</f>
        <v>9</v>
      </c>
      <c r="D5" s="11">
        <f>IF(tblEx3Ownership[[#This Row],[Issuers]]=0,"",tblEx3Ownership[[#This Row],[With statement]]/tblEx3Ownership[[#This Row],[Issuers]])</f>
        <v>1</v>
      </c>
    </row>
    <row r="6" spans="1:4" x14ac:dyDescent="0.3">
      <c r="A6" s="5" t="s">
        <v>644</v>
      </c>
      <c r="B6" s="5">
        <f>COUNTIF(tblData[State-owned],"N")</f>
        <v>36</v>
      </c>
      <c r="C6" s="5">
        <f>COUNTIFS(tblData[State-owned],"N",tblData[External statement],"Y")</f>
        <v>18</v>
      </c>
      <c r="D6" s="11">
        <f>IF(tblEx3Ownership[[#This Row],[Issuers]]=0,"",tblEx3Ownership[[#This Row],[With statement]]/tblEx3Ownership[[#This Row],[Issuers]])</f>
        <v>0.5</v>
      </c>
    </row>
    <row r="7" spans="1:4" x14ac:dyDescent="0.3">
      <c r="A7" s="2"/>
      <c r="B7" s="2"/>
      <c r="C7" s="2"/>
      <c r="D7" s="2"/>
    </row>
    <row r="8" spans="1:4" x14ac:dyDescent="0.3">
      <c r="A8" s="2"/>
      <c r="B8" s="2"/>
      <c r="C8" s="2"/>
      <c r="D8" s="2"/>
    </row>
    <row r="9" spans="1:4" ht="26.4" x14ac:dyDescent="0.3">
      <c r="A9" s="4" t="s">
        <v>30</v>
      </c>
      <c r="B9" s="4" t="s">
        <v>601</v>
      </c>
      <c r="C9" s="4" t="s">
        <v>643</v>
      </c>
      <c r="D9" s="4" t="s">
        <v>602</v>
      </c>
    </row>
    <row r="10" spans="1:4" x14ac:dyDescent="0.3">
      <c r="A10" s="5" t="s">
        <v>150</v>
      </c>
      <c r="B10" s="5">
        <f>COUNTIF(tblData[Sector],"Financials")</f>
        <v>5</v>
      </c>
      <c r="C10" s="5">
        <f>COUNTIFS(tblData[Sector],"Financials",tblData[External statement],"Y")</f>
        <v>5</v>
      </c>
      <c r="D10" s="11">
        <f>IF(tblEx3Sector[[#This Row],[Issuers]]=0,"",tblEx3Sector[[#This Row],[With statement]]/tblEx3Sector[[#This Row],[Issuers]])</f>
        <v>1</v>
      </c>
    </row>
    <row r="11" spans="1:4" x14ac:dyDescent="0.3">
      <c r="A11" s="5" t="s">
        <v>215</v>
      </c>
      <c r="B11" s="5">
        <f>COUNTIF(tblData[Sector],"Technology")</f>
        <v>2</v>
      </c>
      <c r="C11" s="5">
        <f>COUNTIFS(tblData[Sector],"Technology",tblData[External statement],"Y")</f>
        <v>2</v>
      </c>
      <c r="D11" s="11">
        <f>IF(tblEx3Sector[[#This Row],[Issuers]]=0,"",tblEx3Sector[[#This Row],[With statement]]/tblEx3Sector[[#This Row],[Issuers]])</f>
        <v>1</v>
      </c>
    </row>
    <row r="12" spans="1:4" x14ac:dyDescent="0.3">
      <c r="A12" s="5" t="s">
        <v>105</v>
      </c>
      <c r="B12" s="5">
        <f>COUNTIF(tblData[Sector],"Basic Materials")</f>
        <v>9</v>
      </c>
      <c r="C12" s="5">
        <f>COUNTIFS(tblData[Sector],"Basic Materials",tblData[External statement],"Y")</f>
        <v>6</v>
      </c>
      <c r="D12" s="11">
        <f>IF(tblEx3Sector[[#This Row],[Issuers]]=0,"",tblEx3Sector[[#This Row],[With statement]]/tblEx3Sector[[#This Row],[Issuers]])</f>
        <v>0.66666666666666663</v>
      </c>
    </row>
    <row r="13" spans="1:4" x14ac:dyDescent="0.3">
      <c r="A13" s="5" t="s">
        <v>227</v>
      </c>
      <c r="B13" s="5">
        <f>COUNTIF(tblData[Sector],"Infrastructures")</f>
        <v>5</v>
      </c>
      <c r="C13" s="5">
        <f>COUNTIFS(tblData[Sector],"Infrastructures",tblData[External statement],"Y")</f>
        <v>3</v>
      </c>
      <c r="D13" s="11">
        <f>IF(tblEx3Sector[[#This Row],[Issuers]]=0,"",tblEx3Sector[[#This Row],[With statement]]/tblEx3Sector[[#This Row],[Issuers]])</f>
        <v>0.6</v>
      </c>
    </row>
    <row r="14" spans="1:4" x14ac:dyDescent="0.3">
      <c r="A14" s="5" t="s">
        <v>80</v>
      </c>
      <c r="B14" s="5">
        <f>COUNTIF(tblData[Sector],"Energy")</f>
        <v>12</v>
      </c>
      <c r="C14" s="5">
        <f>COUNTIFS(tblData[Sector],"Energy",tblData[External statement],"Y")</f>
        <v>7</v>
      </c>
      <c r="D14" s="11">
        <f>IF(tblEx3Sector[[#This Row],[Issuers]]=0,"",tblEx3Sector[[#This Row],[With statement]]/tblEx3Sector[[#This Row],[Issuers]])</f>
        <v>0.58333333333333337</v>
      </c>
    </row>
    <row r="15" spans="1:4" x14ac:dyDescent="0.3">
      <c r="A15" s="5" t="s">
        <v>137</v>
      </c>
      <c r="B15" s="5">
        <f>COUNTIF(tblData[Sector],"Industrials")</f>
        <v>2</v>
      </c>
      <c r="C15" s="5">
        <f>COUNTIFS(tblData[Sector],"Industrials",tblData[External statement],"Y")</f>
        <v>1</v>
      </c>
      <c r="D15" s="11">
        <f>IF(tblEx3Sector[[#This Row],[Issuers]]=0,"",tblEx3Sector[[#This Row],[With statement]]/tblEx3Sector[[#This Row],[Issuers]])</f>
        <v>0.5</v>
      </c>
    </row>
    <row r="16" spans="1:4" x14ac:dyDescent="0.3">
      <c r="A16" s="5" t="s">
        <v>117</v>
      </c>
      <c r="B16" s="5">
        <f>COUNTIF(tblData[Sector],"Consumer Non-Cyclicals")</f>
        <v>6</v>
      </c>
      <c r="C16" s="5">
        <f>COUNTIFS(tblData[Sector],"Consumer Non-Cyclicals",tblData[External statement],"Y")</f>
        <v>3</v>
      </c>
      <c r="D16" s="11">
        <f>IF(tblEx3Sector[[#This Row],[Issuers]]=0,"",tblEx3Sector[[#This Row],[With statement]]/tblEx3Sector[[#This Row],[Issuers]])</f>
        <v>0.5</v>
      </c>
    </row>
    <row r="17" spans="1:4" x14ac:dyDescent="0.3">
      <c r="A17" s="5" t="s">
        <v>240</v>
      </c>
      <c r="B17" s="5">
        <f>COUNTIF(tblData[Sector],"Consumer Cyclicals")</f>
        <v>3</v>
      </c>
      <c r="C17" s="5">
        <f>COUNTIFS(tblData[Sector],"Consumer Cyclicals",tblData[External statement],"Y")</f>
        <v>0</v>
      </c>
      <c r="D17" s="11">
        <f>IF(tblEx3Sector[[#This Row],[Issuers]]=0,"",tblEx3Sector[[#This Row],[With statement]]/tblEx3Sector[[#This Row],[Issuers]])</f>
        <v>0</v>
      </c>
    </row>
    <row r="18" spans="1:4" x14ac:dyDescent="0.3">
      <c r="A18" s="5" t="s">
        <v>291</v>
      </c>
      <c r="B18" s="5">
        <f>COUNTIF(tblData[Sector],"Healthcare")</f>
        <v>1</v>
      </c>
      <c r="C18" s="5">
        <f>COUNTIFS(tblData[Sector],"Healthcare",tblData[External statement],"Y")</f>
        <v>0</v>
      </c>
      <c r="D18" s="11">
        <f>IF(tblEx3Sector[[#This Row],[Issuers]]=0,"",tblEx3Sector[[#This Row],[With statement]]/tblEx3Sector[[#This Row],[Issuers]])</f>
        <v>0</v>
      </c>
    </row>
    <row r="19" spans="1:4" x14ac:dyDescent="0.3">
      <c r="A19" s="2"/>
      <c r="B19" s="2"/>
      <c r="C19" s="2"/>
      <c r="D19" s="2"/>
    </row>
    <row r="20" spans="1:4" x14ac:dyDescent="0.3">
      <c r="A20" s="2"/>
      <c r="B20" s="2"/>
      <c r="C20" s="2"/>
      <c r="D20" s="2"/>
    </row>
    <row r="21" spans="1:4" x14ac:dyDescent="0.3">
      <c r="A21" s="10" t="s">
        <v>645</v>
      </c>
      <c r="B21" s="2"/>
      <c r="C21" s="2"/>
      <c r="D21" s="2"/>
    </row>
    <row r="22" spans="1:4" ht="26.4" x14ac:dyDescent="0.3">
      <c r="A22" s="4" t="s">
        <v>31</v>
      </c>
      <c r="B22" s="4" t="s">
        <v>646</v>
      </c>
      <c r="C22" s="4" t="s">
        <v>643</v>
      </c>
      <c r="D22" s="4" t="s">
        <v>647</v>
      </c>
    </row>
    <row r="23" spans="1:4" x14ac:dyDescent="0.3">
      <c r="A23" s="5" t="s">
        <v>81</v>
      </c>
      <c r="B23" s="5">
        <f>COUNTIF(tblData[Business group],"Adaro/AlamTri")</f>
        <v>3</v>
      </c>
      <c r="C23" s="5">
        <f>COUNTIFS(tblData[Business group],"Adaro/AlamTri",tblData[External statement],"Y")</f>
        <v>0</v>
      </c>
      <c r="D23" s="5" t="str">
        <f>IF(tblEx3Groups[[#This Row],[Members]]&lt;2,"",IF(OR(tblEx3Groups[[#This Row],[With statement]]=0,tblEx3Groups[[#This Row],[With statement]]=tblEx3Groups[[#This Row],[Members]]),"Y","N"))</f>
        <v>Y</v>
      </c>
    </row>
    <row r="24" spans="1:4" x14ac:dyDescent="0.3">
      <c r="A24" s="5" t="s">
        <v>138</v>
      </c>
      <c r="B24" s="5">
        <f>COUNTIF(tblData[Business group],"Astra")</f>
        <v>2</v>
      </c>
      <c r="C24" s="5">
        <f>COUNTIFS(tblData[Business group],"Astra",tblData[External statement],"Y")</f>
        <v>1</v>
      </c>
      <c r="D24" s="5" t="str">
        <f>IF(tblEx3Groups[[#This Row],[Members]]&lt;2,"",IF(OR(tblEx3Groups[[#This Row],[With statement]]=0,tblEx3Groups[[#This Row],[With statement]]=tblEx3Groups[[#This Row],[Members]]),"Y","N"))</f>
        <v>N</v>
      </c>
    </row>
    <row r="25" spans="1:4" x14ac:dyDescent="0.3">
      <c r="A25" s="5" t="s">
        <v>193</v>
      </c>
      <c r="B25" s="5">
        <f>COUNTIF(tblData[Business group],"Bakrie")</f>
        <v>2</v>
      </c>
      <c r="C25" s="5">
        <f>COUNTIFS(tblData[Business group],"Bakrie",tblData[External statement],"Y")</f>
        <v>2</v>
      </c>
      <c r="D25" s="5" t="str">
        <f>IF(tblEx3Groups[[#This Row],[Members]]&lt;2,"",IF(OR(tblEx3Groups[[#This Row],[With statement]]=0,tblEx3Groups[[#This Row],[With statement]]=tblEx3Groups[[#This Row],[Members]]),"Y","N"))</f>
        <v>Y</v>
      </c>
    </row>
    <row r="26" spans="1:4" x14ac:dyDescent="0.3">
      <c r="A26" s="5" t="s">
        <v>187</v>
      </c>
      <c r="B26" s="5">
        <f>COUNTIF(tblData[Business group],"Barito/Prajogo")</f>
        <v>2</v>
      </c>
      <c r="C26" s="5">
        <f>COUNTIFS(tblData[Business group],"Barito/Prajogo",tblData[External statement],"Y")</f>
        <v>0</v>
      </c>
      <c r="D26" s="5" t="str">
        <f>IF(tblEx3Groups[[#This Row],[Members]]&lt;2,"",IF(OR(tblEx3Groups[[#This Row],[With statement]]=0,tblEx3Groups[[#This Row],[With statement]]=tblEx3Groups[[#This Row],[Members]]),"Y","N"))</f>
        <v>Y</v>
      </c>
    </row>
    <row r="27" spans="1:4" x14ac:dyDescent="0.3">
      <c r="A27" s="5" t="s">
        <v>216</v>
      </c>
      <c r="B27" s="5">
        <f>COUNTIF(tblData[Business group],"Emtek")</f>
        <v>2</v>
      </c>
      <c r="C27" s="5">
        <f>COUNTIFS(tblData[Business group],"Emtek",tblData[External statement],"Y")</f>
        <v>1</v>
      </c>
      <c r="D27" s="5" t="str">
        <f>IF(tblEx3Groups[[#This Row],[Members]]&lt;2,"",IF(OR(tblEx3Groups[[#This Row],[With statement]]=0,tblEx3Groups[[#This Row],[With statement]]=tblEx3Groups[[#This Row],[Members]]),"Y","N"))</f>
        <v>N</v>
      </c>
    </row>
    <row r="28" spans="1:4" x14ac:dyDescent="0.3">
      <c r="A28" s="5" t="s">
        <v>245</v>
      </c>
      <c r="B28" s="5">
        <f>COUNTIF(tblData[Business group],"Indofood")</f>
        <v>2</v>
      </c>
      <c r="C28" s="5">
        <f>COUNTIFS(tblData[Business group],"Indofood",tblData[External statement],"Y")</f>
        <v>2</v>
      </c>
      <c r="D28" s="5" t="str">
        <f>IF(tblEx3Groups[[#This Row],[Members]]&lt;2,"",IF(OR(tblEx3Groups[[#This Row],[With statement]]=0,tblEx3Groups[[#This Row],[With statement]]=tblEx3Groups[[#This Row],[Members]]),"Y","N"))</f>
        <v>Y</v>
      </c>
    </row>
    <row r="29" spans="1:4" x14ac:dyDescent="0.3">
      <c r="A29" s="5" t="s">
        <v>123</v>
      </c>
      <c r="B29" s="5">
        <f>COUNTIF(tblData[Business group],"MIND ID")</f>
        <v>2</v>
      </c>
      <c r="C29" s="5">
        <f>COUNTIFS(tblData[Business group],"MIND ID",tblData[External statement],"Y")</f>
        <v>2</v>
      </c>
      <c r="D29" s="5" t="str">
        <f>IF(tblEx3Groups[[#This Row],[Members]]&lt;2,"",IF(OR(tblEx3Groups[[#This Row],[With statement]]=0,tblEx3Groups[[#This Row],[With statement]]=tblEx3Groups[[#This Row],[Members]]),"Y","N"))</f>
        <v>Y</v>
      </c>
    </row>
    <row r="30" spans="1:4" x14ac:dyDescent="0.3">
      <c r="A30" s="5" t="s">
        <v>300</v>
      </c>
      <c r="B30" s="5">
        <f>COUNTIF(tblData[Business group],"Merdeka")</f>
        <v>2</v>
      </c>
      <c r="C30" s="5">
        <f>COUNTIFS(tblData[Business group],"Merdeka",tblData[External statement],"Y")</f>
        <v>2</v>
      </c>
      <c r="D30" s="5" t="str">
        <f>IF(tblEx3Groups[[#This Row],[Members]]&lt;2,"",IF(OR(tblEx3Groups[[#This Row],[With statement]]=0,tblEx3Groups[[#This Row],[With statement]]=tblEx3Groups[[#This Row],[Members]]),"Y","N"))</f>
        <v>Y</v>
      </c>
    </row>
    <row r="31" spans="1:4" x14ac:dyDescent="0.3">
      <c r="A31" s="5" t="s">
        <v>323</v>
      </c>
      <c r="B31" s="5">
        <f>COUNTIF(tblData[Business group],"Pertamina")</f>
        <v>2</v>
      </c>
      <c r="C31" s="5">
        <f>COUNTIFS(tblData[Business group],"Pertamina",tblData[External statement],"Y")</f>
        <v>2</v>
      </c>
      <c r="D31" s="5" t="str">
        <f>IF(tblEx3Groups[[#This Row],[Members]]&lt;2,"",IF(OR(tblEx3Groups[[#This Row],[With statement]]=0,tblEx3Groups[[#This Row],[With statement]]=tblEx3Groups[[#This Row],[Members]]),"Y","N"))</f>
        <v>Y</v>
      </c>
    </row>
    <row r="32" spans="1:4" x14ac:dyDescent="0.3">
      <c r="A32" s="5" t="s">
        <v>268</v>
      </c>
      <c r="B32" s="5">
        <f>COUNTIF(tblData[Business group],"Sinar Mas")</f>
        <v>1</v>
      </c>
      <c r="C32" s="5">
        <f>COUNTIFS(tblData[Business group],"Sinar Mas",tblData[External statement],"Y")</f>
        <v>0</v>
      </c>
      <c r="D32" s="5" t="str">
        <f>IF(tblEx3Groups[[#This Row],[Members]]&lt;2,"",IF(OR(tblEx3Groups[[#This Row],[With statement]]=0,tblEx3Groups[[#This Row],[With statement]]=tblEx3Groups[[#This Row],[Members]]),"Y","N"))</f>
        <v/>
      </c>
    </row>
    <row r="33" spans="1:4" x14ac:dyDescent="0.3">
      <c r="A33" s="2"/>
      <c r="B33" s="2"/>
      <c r="C33" s="2"/>
      <c r="D33" s="2"/>
    </row>
    <row r="34" spans="1:4" x14ac:dyDescent="0.3">
      <c r="A34" s="12" t="s">
        <v>648</v>
      </c>
      <c r="B34" s="12">
        <f>COUNTIF(tblEx3Groups[Members],"&gt;=2")</f>
        <v>9</v>
      </c>
      <c r="C34" s="2"/>
      <c r="D34" s="2"/>
    </row>
    <row r="35" spans="1:4" x14ac:dyDescent="0.3">
      <c r="A35" s="12" t="s">
        <v>649</v>
      </c>
      <c r="B35" s="12">
        <f>COUNTIF(tblEx3Groups[Same status],"Y")</f>
        <v>7</v>
      </c>
      <c r="C35" s="2"/>
      <c r="D35" s="2"/>
    </row>
  </sheetData>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9"/>
  <sheetViews>
    <sheetView showGridLines="0" zoomScaleNormal="100" workbookViewId="0">
      <selection activeCell="E14" sqref="E14"/>
    </sheetView>
  </sheetViews>
  <sheetFormatPr defaultColWidth="8.6640625" defaultRowHeight="14.4" x14ac:dyDescent="0.3"/>
  <cols>
    <col min="1" max="1" width="30" customWidth="1"/>
    <col min="2" max="2" width="12" customWidth="1"/>
    <col min="3" max="4" width="14" customWidth="1"/>
    <col min="5" max="5" width="13" customWidth="1"/>
    <col min="6" max="6" width="10" customWidth="1"/>
    <col min="7" max="7" width="12" customWidth="1"/>
  </cols>
  <sheetData>
    <row r="1" spans="1:7" ht="17.399999999999999" x14ac:dyDescent="0.3">
      <c r="A1" s="1" t="s">
        <v>650</v>
      </c>
      <c r="B1" s="2"/>
      <c r="C1" s="2"/>
      <c r="D1" s="2"/>
      <c r="E1" s="2"/>
      <c r="F1" s="2"/>
      <c r="G1" s="2"/>
    </row>
    <row r="2" spans="1:7" x14ac:dyDescent="0.3">
      <c r="A2" s="3" t="s">
        <v>651</v>
      </c>
      <c r="B2" s="2"/>
      <c r="C2" s="2"/>
      <c r="D2" s="2"/>
      <c r="E2" s="2"/>
      <c r="F2" s="2"/>
      <c r="G2" s="2"/>
    </row>
    <row r="3" spans="1:7" x14ac:dyDescent="0.3">
      <c r="A3" s="2"/>
      <c r="B3" s="2"/>
      <c r="C3" s="2"/>
      <c r="D3" s="2"/>
      <c r="E3" s="2"/>
      <c r="F3" s="2"/>
      <c r="G3" s="2"/>
    </row>
    <row r="4" spans="1:7" ht="26.4" x14ac:dyDescent="0.3">
      <c r="A4" s="4" t="s">
        <v>41</v>
      </c>
      <c r="B4" s="4" t="s">
        <v>197</v>
      </c>
      <c r="C4" s="4" t="s">
        <v>143</v>
      </c>
      <c r="D4" s="4" t="s">
        <v>182</v>
      </c>
      <c r="E4" s="4" t="s">
        <v>128</v>
      </c>
      <c r="F4" s="4" t="s">
        <v>110</v>
      </c>
      <c r="G4" s="4" t="s">
        <v>652</v>
      </c>
    </row>
    <row r="5" spans="1:7" x14ac:dyDescent="0.3">
      <c r="A5" s="5" t="s">
        <v>142</v>
      </c>
      <c r="B5" s="5">
        <f>COUNTIFS(tblData[Provider type],"Big 4 network",tblData[Standard],"ISAE 3000")</f>
        <v>1</v>
      </c>
      <c r="C5" s="5">
        <f>COUNTIFS(tblData[Provider type],"Big 4 network",tblData[Standard],"ISAE 3000 + ISAE 3410")</f>
        <v>3</v>
      </c>
      <c r="D5" s="5">
        <f>COUNTIFS(tblData[Provider type],"Big 4 network",tblData[Standard],"ISAE 3000 + AA1000AS")</f>
        <v>0</v>
      </c>
      <c r="E5" s="5">
        <f>COUNTIFS(tblData[Provider type],"Big 4 network",tblData[Standard],"AA1000AS v3")</f>
        <v>0</v>
      </c>
      <c r="F5" s="5">
        <f>COUNTIFS(tblData[Provider type],"Big 4 network",tblData[Standard],"Other")</f>
        <v>0</v>
      </c>
      <c r="G5" s="5">
        <f>COUNTIFS(tblData[Provider type],"Big 4 network",tblData[External statement],"Y")</f>
        <v>4</v>
      </c>
    </row>
    <row r="6" spans="1:7" x14ac:dyDescent="0.3">
      <c r="A6" s="5" t="s">
        <v>196</v>
      </c>
      <c r="B6" s="5">
        <f>COUNTIFS(tblData[Provider type],"Other audit firm (KAP)",tblData[Standard],"ISAE 3000")</f>
        <v>4</v>
      </c>
      <c r="C6" s="5">
        <f>COUNTIFS(tblData[Provider type],"Other audit firm (KAP)",tblData[Standard],"ISAE 3000 + ISAE 3410")</f>
        <v>0</v>
      </c>
      <c r="D6" s="5">
        <f>COUNTIFS(tblData[Provider type],"Other audit firm (KAP)",tblData[Standard],"ISAE 3000 + AA1000AS")</f>
        <v>1</v>
      </c>
      <c r="E6" s="5">
        <f>COUNTIFS(tblData[Provider type],"Other audit firm (KAP)",tblData[Standard],"AA1000AS v3")</f>
        <v>0</v>
      </c>
      <c r="F6" s="5">
        <f>COUNTIFS(tblData[Provider type],"Other audit firm (KAP)",tblData[Standard],"Other")</f>
        <v>0</v>
      </c>
      <c r="G6" s="5">
        <f>COUNTIFS(tblData[Provider type],"Other audit firm (KAP)",tblData[External statement],"Y")</f>
        <v>5</v>
      </c>
    </row>
    <row r="7" spans="1:7" x14ac:dyDescent="0.3">
      <c r="A7" s="5" t="s">
        <v>127</v>
      </c>
      <c r="B7" s="5">
        <f>COUNTIFS(tblData[Provider type],"Certification/inspection body",tblData[Standard],"ISAE 3000")</f>
        <v>0</v>
      </c>
      <c r="C7" s="5">
        <f>COUNTIFS(tblData[Provider type],"Certification/inspection body",tblData[Standard],"ISAE 3000 + ISAE 3410")</f>
        <v>0</v>
      </c>
      <c r="D7" s="5">
        <f>COUNTIFS(tblData[Provider type],"Certification/inspection body",tblData[Standard],"ISAE 3000 + AA1000AS")</f>
        <v>1</v>
      </c>
      <c r="E7" s="5">
        <f>COUNTIFS(tblData[Provider type],"Certification/inspection body",tblData[Standard],"AA1000AS v3")</f>
        <v>8</v>
      </c>
      <c r="F7" s="5">
        <f>COUNTIFS(tblData[Provider type],"Certification/inspection body",tblData[Standard],"Other")</f>
        <v>0</v>
      </c>
      <c r="G7" s="5">
        <f>COUNTIFS(tblData[Provider type],"Certification/inspection body",tblData[External statement],"Y")</f>
        <v>9</v>
      </c>
    </row>
    <row r="8" spans="1:7" x14ac:dyDescent="0.3">
      <c r="A8" s="5" t="s">
        <v>154</v>
      </c>
      <c r="B8" s="5">
        <f>COUNTIFS(tblData[Provider type],"Sustainability consultancy",tblData[Standard],"ISAE 3000")</f>
        <v>0</v>
      </c>
      <c r="C8" s="5">
        <f>COUNTIFS(tblData[Provider type],"Sustainability consultancy",tblData[Standard],"ISAE 3000 + ISAE 3410")</f>
        <v>0</v>
      </c>
      <c r="D8" s="5">
        <f>COUNTIFS(tblData[Provider type],"Sustainability consultancy",tblData[Standard],"ISAE 3000 + AA1000AS")</f>
        <v>0</v>
      </c>
      <c r="E8" s="5">
        <f>COUNTIFS(tblData[Provider type],"Sustainability consultancy",tblData[Standard],"AA1000AS v3")</f>
        <v>8</v>
      </c>
      <c r="F8" s="5">
        <f>COUNTIFS(tblData[Provider type],"Sustainability consultancy",tblData[Standard],"Other")</f>
        <v>0</v>
      </c>
      <c r="G8" s="5">
        <f>COUNTIFS(tblData[Provider type],"Sustainability consultancy",tblData[External statement],"Y")</f>
        <v>8</v>
      </c>
    </row>
    <row r="9" spans="1:7" x14ac:dyDescent="0.3">
      <c r="A9" s="5" t="s">
        <v>109</v>
      </c>
      <c r="B9" s="5">
        <f>COUNTIFS(tblData[Provider type],"Not stated",tblData[Standard],"ISAE 3000")</f>
        <v>0</v>
      </c>
      <c r="C9" s="5">
        <f>COUNTIFS(tblData[Provider type],"Not stated",tblData[Standard],"ISAE 3000 + ISAE 3410")</f>
        <v>0</v>
      </c>
      <c r="D9" s="5">
        <f>COUNTIFS(tblData[Provider type],"Not stated",tblData[Standard],"ISAE 3000 + AA1000AS")</f>
        <v>0</v>
      </c>
      <c r="E9" s="5">
        <f>COUNTIFS(tblData[Provider type],"Not stated",tblData[Standard],"AA1000AS v3")</f>
        <v>0</v>
      </c>
      <c r="F9" s="5">
        <f>COUNTIFS(tblData[Provider type],"Not stated",tblData[Standard],"Other")</f>
        <v>1</v>
      </c>
      <c r="G9" s="5">
        <f>COUNTIFS(tblData[Provider type],"Not stated",tblData[External statement],"Y")</f>
        <v>1</v>
      </c>
    </row>
    <row r="10" spans="1:7" x14ac:dyDescent="0.3">
      <c r="A10" s="2"/>
      <c r="B10" s="2"/>
      <c r="C10" s="2"/>
      <c r="D10" s="2"/>
      <c r="E10" s="2"/>
      <c r="F10" s="2"/>
      <c r="G10" s="2"/>
    </row>
    <row r="11" spans="1:7" x14ac:dyDescent="0.3">
      <c r="A11" s="2"/>
      <c r="B11" s="2"/>
      <c r="C11" s="2"/>
      <c r="D11" s="2"/>
      <c r="E11" s="2"/>
      <c r="F11" s="2"/>
      <c r="G11" s="2"/>
    </row>
    <row r="12" spans="1:7" ht="26.4" x14ac:dyDescent="0.3">
      <c r="A12" s="4" t="s">
        <v>41</v>
      </c>
      <c r="B12" s="4" t="s">
        <v>144</v>
      </c>
      <c r="C12" s="4" t="s">
        <v>653</v>
      </c>
      <c r="D12" s="4" t="s">
        <v>130</v>
      </c>
      <c r="E12" s="4" t="s">
        <v>654</v>
      </c>
      <c r="F12" s="4" t="s">
        <v>109</v>
      </c>
      <c r="G12" s="4" t="s">
        <v>652</v>
      </c>
    </row>
    <row r="13" spans="1:7" x14ac:dyDescent="0.3">
      <c r="A13" s="5" t="s">
        <v>142</v>
      </c>
      <c r="B13" s="5">
        <f>COUNTIFS(tblData[Provider type],"Big 4 network",tblData[Assurance level],"Limited")</f>
        <v>4</v>
      </c>
      <c r="C13" s="5">
        <f>COUNTIFS(tblData[Provider type],"Big 4 network",tblData[Assurance level],"Reasonable")</f>
        <v>0</v>
      </c>
      <c r="D13" s="5">
        <f>COUNTIFS(tblData[Provider type],"Big 4 network",tblData[Assurance level],"Moderate (AA1000)")</f>
        <v>0</v>
      </c>
      <c r="E13" s="5">
        <f>COUNTIFS(tblData[Provider type],"Big 4 network",tblData[Assurance level],"High (AA1000)")</f>
        <v>0</v>
      </c>
      <c r="F13" s="5">
        <f>COUNTIFS(tblData[Provider type],"Big 4 network",tblData[Assurance level],"Not stated")</f>
        <v>0</v>
      </c>
      <c r="G13" s="5">
        <f>COUNTIFS(tblData[Provider type],"Big 4 network",tblData[External statement],"Y")</f>
        <v>4</v>
      </c>
    </row>
    <row r="14" spans="1:7" x14ac:dyDescent="0.3">
      <c r="A14" s="5" t="s">
        <v>196</v>
      </c>
      <c r="B14" s="5">
        <f>COUNTIFS(tblData[Provider type],"Other audit firm (KAP)",tblData[Assurance level],"Limited")</f>
        <v>4</v>
      </c>
      <c r="C14" s="5">
        <f>COUNTIFS(tblData[Provider type],"Other audit firm (KAP)",tblData[Assurance level],"Reasonable")</f>
        <v>0</v>
      </c>
      <c r="D14" s="5">
        <f>COUNTIFS(tblData[Provider type],"Other audit firm (KAP)",tblData[Assurance level],"Moderate (AA1000)")</f>
        <v>1</v>
      </c>
      <c r="E14" s="5">
        <f>COUNTIFS(tblData[Provider type],"Other audit firm (KAP)",tblData[Assurance level],"High (AA1000)")</f>
        <v>0</v>
      </c>
      <c r="F14" s="5">
        <f>COUNTIFS(tblData[Provider type],"Other audit firm (KAP)",tblData[Assurance level],"Not stated")</f>
        <v>0</v>
      </c>
      <c r="G14" s="5">
        <f>COUNTIFS(tblData[Provider type],"Other audit firm (KAP)",tblData[External statement],"Y")</f>
        <v>5</v>
      </c>
    </row>
    <row r="15" spans="1:7" x14ac:dyDescent="0.3">
      <c r="A15" s="5" t="s">
        <v>127</v>
      </c>
      <c r="B15" s="5">
        <f>COUNTIFS(tblData[Provider type],"Certification/inspection body",tblData[Assurance level],"Limited")</f>
        <v>0</v>
      </c>
      <c r="C15" s="5">
        <f>COUNTIFS(tblData[Provider type],"Certification/inspection body",tblData[Assurance level],"Reasonable")</f>
        <v>0</v>
      </c>
      <c r="D15" s="5">
        <f>COUNTIFS(tblData[Provider type],"Certification/inspection body",tblData[Assurance level],"Moderate (AA1000)")</f>
        <v>9</v>
      </c>
      <c r="E15" s="5">
        <f>COUNTIFS(tblData[Provider type],"Certification/inspection body",tblData[Assurance level],"High (AA1000)")</f>
        <v>0</v>
      </c>
      <c r="F15" s="5">
        <f>COUNTIFS(tblData[Provider type],"Certification/inspection body",tblData[Assurance level],"Not stated")</f>
        <v>0</v>
      </c>
      <c r="G15" s="5">
        <f>COUNTIFS(tblData[Provider type],"Certification/inspection body",tblData[External statement],"Y")</f>
        <v>9</v>
      </c>
    </row>
    <row r="16" spans="1:7" x14ac:dyDescent="0.3">
      <c r="A16" s="5" t="s">
        <v>154</v>
      </c>
      <c r="B16" s="5">
        <f>COUNTIFS(tblData[Provider type],"Sustainability consultancy",tblData[Assurance level],"Limited")</f>
        <v>0</v>
      </c>
      <c r="C16" s="5">
        <f>COUNTIFS(tblData[Provider type],"Sustainability consultancy",tblData[Assurance level],"Reasonable")</f>
        <v>0</v>
      </c>
      <c r="D16" s="5">
        <f>COUNTIFS(tblData[Provider type],"Sustainability consultancy",tblData[Assurance level],"Moderate (AA1000)")</f>
        <v>8</v>
      </c>
      <c r="E16" s="5">
        <f>COUNTIFS(tblData[Provider type],"Sustainability consultancy",tblData[Assurance level],"High (AA1000)")</f>
        <v>0</v>
      </c>
      <c r="F16" s="5">
        <f>COUNTIFS(tblData[Provider type],"Sustainability consultancy",tblData[Assurance level],"Not stated")</f>
        <v>0</v>
      </c>
      <c r="G16" s="5">
        <f>COUNTIFS(tblData[Provider type],"Sustainability consultancy",tblData[External statement],"Y")</f>
        <v>8</v>
      </c>
    </row>
    <row r="17" spans="1:7" x14ac:dyDescent="0.3">
      <c r="A17" s="5" t="s">
        <v>109</v>
      </c>
      <c r="B17" s="5">
        <f>COUNTIFS(tblData[Provider type],"Not stated",tblData[Assurance level],"Limited")</f>
        <v>0</v>
      </c>
      <c r="C17" s="5">
        <f>COUNTIFS(tblData[Provider type],"Not stated",tblData[Assurance level],"Reasonable")</f>
        <v>0</v>
      </c>
      <c r="D17" s="5">
        <f>COUNTIFS(tblData[Provider type],"Not stated",tblData[Assurance level],"Moderate (AA1000)")</f>
        <v>0</v>
      </c>
      <c r="E17" s="5">
        <f>COUNTIFS(tblData[Provider type],"Not stated",tblData[Assurance level],"High (AA1000)")</f>
        <v>0</v>
      </c>
      <c r="F17" s="5">
        <f>COUNTIFS(tblData[Provider type],"Not stated",tblData[Assurance level],"Not stated")</f>
        <v>1</v>
      </c>
      <c r="G17" s="5">
        <f>COUNTIFS(tblData[Provider type],"Not stated",tblData[External statement],"Y")</f>
        <v>1</v>
      </c>
    </row>
    <row r="18" spans="1:7" x14ac:dyDescent="0.3">
      <c r="A18" s="2"/>
      <c r="B18" s="2"/>
      <c r="C18" s="2"/>
      <c r="D18" s="2"/>
      <c r="E18" s="2"/>
      <c r="F18" s="2"/>
      <c r="G18" s="2"/>
    </row>
    <row r="19" spans="1:7" x14ac:dyDescent="0.3">
      <c r="A19" s="12" t="s">
        <v>655</v>
      </c>
      <c r="B19" s="2"/>
      <c r="C19" s="2"/>
      <c r="D19" s="2"/>
      <c r="E19" s="2"/>
      <c r="F19" s="2"/>
      <c r="G19" s="12">
        <f>COUNTIFS(tblData[C3 Level],0,tblData[C4 Standard],0)</f>
        <v>17</v>
      </c>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
  <sheetViews>
    <sheetView showGridLines="0" zoomScaleNormal="100" workbookViewId="0">
      <selection activeCell="D6" sqref="D6"/>
    </sheetView>
  </sheetViews>
  <sheetFormatPr defaultColWidth="8.6640625" defaultRowHeight="14.4" x14ac:dyDescent="0.3"/>
  <cols>
    <col min="1" max="1" width="30" customWidth="1"/>
    <col min="2" max="3" width="11" customWidth="1"/>
    <col min="4" max="4" width="13" customWidth="1"/>
    <col min="5" max="6" width="14" customWidth="1"/>
  </cols>
  <sheetData>
    <row r="1" spans="1:6" ht="17.399999999999999" x14ac:dyDescent="0.3">
      <c r="A1" s="1" t="s">
        <v>656</v>
      </c>
      <c r="B1" s="2"/>
      <c r="C1" s="2"/>
      <c r="D1" s="2"/>
      <c r="E1" s="2"/>
      <c r="F1" s="2"/>
    </row>
    <row r="2" spans="1:6" x14ac:dyDescent="0.3">
      <c r="A2" s="3" t="s">
        <v>657</v>
      </c>
      <c r="B2" s="2"/>
      <c r="C2" s="2"/>
      <c r="D2" s="2"/>
      <c r="E2" s="2"/>
      <c r="F2" s="2"/>
    </row>
    <row r="3" spans="1:6" x14ac:dyDescent="0.3">
      <c r="A3" s="2"/>
      <c r="B3" s="2"/>
      <c r="C3" s="2"/>
      <c r="D3" s="2"/>
      <c r="E3" s="2"/>
      <c r="F3" s="2"/>
    </row>
    <row r="4" spans="1:6" ht="26.4" x14ac:dyDescent="0.3">
      <c r="A4" s="4" t="s">
        <v>658</v>
      </c>
      <c r="B4" s="4" t="s">
        <v>659</v>
      </c>
      <c r="C4" s="4" t="s">
        <v>660</v>
      </c>
      <c r="D4" s="4" t="s">
        <v>61</v>
      </c>
      <c r="E4" s="4" t="s">
        <v>661</v>
      </c>
      <c r="F4" s="4" t="s">
        <v>662</v>
      </c>
    </row>
    <row r="5" spans="1:6" x14ac:dyDescent="0.3">
      <c r="A5" s="5" t="s">
        <v>663</v>
      </c>
      <c r="B5" s="5">
        <f>COUNTIF(tblData[Scope 1 disclosed],"Y")</f>
        <v>44</v>
      </c>
      <c r="C5" s="5">
        <f>COUNTIFS(tblData[Scope 1 disclosed],"Y",tblData[Scope 1 assured],"Y")</f>
        <v>20</v>
      </c>
      <c r="D5" s="5">
        <f>COUNTIFS(tblData[Scope 1 assured],"Y",tblData[Scope 1 figures listed],"Y")</f>
        <v>6</v>
      </c>
      <c r="E5" s="11">
        <f>IF(tblEx5[[#This Row],[Disclosed]]=0,"",tblEx5[[#This Row],[Assured]]/tblEx5[[#This Row],[Disclosed]])</f>
        <v>0.45454545454545453</v>
      </c>
      <c r="F5" s="11">
        <f>IF(tblEx5[[#This Row],[Assured]]=0,"",tblEx5[[#This Row],[Figures listed]]/tblEx5[[#This Row],[Assured]])</f>
        <v>0.3</v>
      </c>
    </row>
    <row r="6" spans="1:6" x14ac:dyDescent="0.3">
      <c r="A6" s="5" t="s">
        <v>664</v>
      </c>
      <c r="B6" s="5">
        <f>COUNTIF(tblData[Scope 2 disclosed],"Y")</f>
        <v>43</v>
      </c>
      <c r="C6" s="5">
        <f>COUNTIFS(tblData[Scope 2 disclosed],"Y",tblData[Scope 2 assured],"Y")</f>
        <v>20</v>
      </c>
      <c r="D6" s="5">
        <f>COUNTIFS(tblData[Scope 2 assured],"Y",tblData[Scope 2 figures listed],"Y")</f>
        <v>6</v>
      </c>
      <c r="E6" s="11">
        <f>IF(tblEx5[[#This Row],[Disclosed]]=0,"",tblEx5[[#This Row],[Assured]]/tblEx5[[#This Row],[Disclosed]])</f>
        <v>0.46511627906976744</v>
      </c>
      <c r="F6" s="11">
        <f>IF(tblEx5[[#This Row],[Assured]]=0,"",tblEx5[[#This Row],[Figures listed]]/tblEx5[[#This Row],[Assured]])</f>
        <v>0.3</v>
      </c>
    </row>
    <row r="7" spans="1:6" x14ac:dyDescent="0.3">
      <c r="A7" s="5" t="s">
        <v>665</v>
      </c>
      <c r="B7" s="5">
        <f>COUNTIF(tblData[Scope 3 disclosed],"Y")</f>
        <v>26</v>
      </c>
      <c r="C7" s="5">
        <f>COUNTIFS(tblData[Scope 3 disclosed],"Y",tblData[Scope 3 assured],"Y")</f>
        <v>12</v>
      </c>
      <c r="D7" s="5">
        <f>COUNTIFS(tblData[Scope 3 assured],"Y",tblData[Scope 3 figures listed],"Y")</f>
        <v>4</v>
      </c>
      <c r="E7" s="11">
        <f>IF(tblEx5[[#This Row],[Disclosed]]=0,"",tblEx5[[#This Row],[Assured]]/tblEx5[[#This Row],[Disclosed]])</f>
        <v>0.46153846153846156</v>
      </c>
      <c r="F7" s="11">
        <f>IF(tblEx5[[#This Row],[Assured]]=0,"",tblEx5[[#This Row],[Figures listed]]/tblEx5[[#This Row],[Assured]])</f>
        <v>0.33333333333333331</v>
      </c>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9"/>
  <sheetViews>
    <sheetView showGridLines="0" zoomScaleNormal="100" workbookViewId="0">
      <selection activeCell="D16" sqref="D16"/>
    </sheetView>
  </sheetViews>
  <sheetFormatPr defaultColWidth="8.6640625" defaultRowHeight="14.4" x14ac:dyDescent="0.3"/>
  <cols>
    <col min="1" max="1" width="10" customWidth="1"/>
    <col min="2" max="2" width="16" customWidth="1"/>
    <col min="3" max="3" width="28" customWidth="1"/>
    <col min="4" max="4" width="60" customWidth="1"/>
    <col min="5" max="5" width="12" customWidth="1"/>
    <col min="6" max="6" width="10" customWidth="1"/>
  </cols>
  <sheetData>
    <row r="1" spans="1:6" ht="17.399999999999999" x14ac:dyDescent="0.3">
      <c r="A1" s="1" t="s">
        <v>666</v>
      </c>
      <c r="B1" s="2"/>
      <c r="C1" s="2"/>
      <c r="D1" s="2"/>
      <c r="E1" s="2"/>
      <c r="F1" s="2"/>
    </row>
    <row r="2" spans="1:6" x14ac:dyDescent="0.3">
      <c r="A2" s="3" t="s">
        <v>667</v>
      </c>
      <c r="B2" s="2"/>
      <c r="C2" s="2"/>
      <c r="D2" s="2"/>
      <c r="E2" s="2"/>
      <c r="F2" s="2"/>
    </row>
    <row r="3" spans="1:6" x14ac:dyDescent="0.3">
      <c r="A3" s="2"/>
      <c r="B3" s="2"/>
      <c r="C3" s="2"/>
      <c r="D3" s="2"/>
      <c r="E3" s="2"/>
      <c r="F3" s="2"/>
    </row>
    <row r="4" spans="1:6" ht="26.4" x14ac:dyDescent="0.3">
      <c r="A4" s="4" t="s">
        <v>668</v>
      </c>
      <c r="B4" s="4" t="s">
        <v>669</v>
      </c>
      <c r="C4" s="4" t="s">
        <v>670</v>
      </c>
      <c r="D4" s="4" t="s">
        <v>671</v>
      </c>
      <c r="E4" s="4" t="s">
        <v>672</v>
      </c>
      <c r="F4" s="4" t="s">
        <v>602</v>
      </c>
    </row>
    <row r="5" spans="1:6" ht="26.4" x14ac:dyDescent="0.3">
      <c r="A5" s="5" t="s">
        <v>673</v>
      </c>
      <c r="B5" s="5" t="s">
        <v>674</v>
      </c>
      <c r="C5" s="5" t="s">
        <v>675</v>
      </c>
      <c r="D5" s="6" t="s">
        <v>676</v>
      </c>
      <c r="E5" s="5">
        <f>COUNTIF(tblData[C1 Independence],1)</f>
        <v>25</v>
      </c>
      <c r="F5" s="11">
        <f>IF(COUNTIF(tblData[External statement],"Y")=0,"",tblEx6Criteria[[#This Row],[Statements meeting]]/COUNTIF(tblData[External statement],"Y"))</f>
        <v>0.92592592592592593</v>
      </c>
    </row>
    <row r="6" spans="1:6" x14ac:dyDescent="0.3">
      <c r="A6" s="5" t="s">
        <v>677</v>
      </c>
      <c r="B6" s="5" t="s">
        <v>674</v>
      </c>
      <c r="C6" s="5" t="s">
        <v>678</v>
      </c>
      <c r="D6" s="6" t="s">
        <v>679</v>
      </c>
      <c r="E6" s="5">
        <f>COUNTIF(tblData[C2 Quality management],1)</f>
        <v>6</v>
      </c>
      <c r="F6" s="11">
        <f>IF(COUNTIF(tblData[External statement],"Y")=0,"",tblEx6Criteria[[#This Row],[Statements meeting]]/COUNTIF(tblData[External statement],"Y"))</f>
        <v>0.22222222222222221</v>
      </c>
    </row>
    <row r="7" spans="1:6" x14ac:dyDescent="0.3">
      <c r="A7" s="5" t="s">
        <v>680</v>
      </c>
      <c r="B7" s="5" t="s">
        <v>674</v>
      </c>
      <c r="C7" s="5" t="s">
        <v>681</v>
      </c>
      <c r="D7" s="6" t="s">
        <v>682</v>
      </c>
      <c r="E7" s="5">
        <f>COUNTIF(tblData[C3 Level],1)</f>
        <v>8</v>
      </c>
      <c r="F7" s="11">
        <f>IF(COUNTIF(tblData[External statement],"Y")=0,"",tblEx6Criteria[[#This Row],[Statements meeting]]/COUNTIF(tblData[External statement],"Y"))</f>
        <v>0.29629629629629628</v>
      </c>
    </row>
    <row r="8" spans="1:6" x14ac:dyDescent="0.3">
      <c r="A8" s="5" t="s">
        <v>683</v>
      </c>
      <c r="B8" s="5" t="s">
        <v>674</v>
      </c>
      <c r="C8" s="5" t="s">
        <v>42</v>
      </c>
      <c r="D8" s="6" t="s">
        <v>684</v>
      </c>
      <c r="E8" s="5">
        <f>COUNTIF(tblData[C4 Standard],1)</f>
        <v>10</v>
      </c>
      <c r="F8" s="11">
        <f>IF(COUNTIF(tblData[External statement],"Y")=0,"",tblEx6Criteria[[#This Row],[Statements meeting]]/COUNTIF(tblData[External statement],"Y"))</f>
        <v>0.37037037037037035</v>
      </c>
    </row>
    <row r="9" spans="1:6" x14ac:dyDescent="0.3">
      <c r="A9" s="5" t="s">
        <v>685</v>
      </c>
      <c r="B9" s="5" t="s">
        <v>674</v>
      </c>
      <c r="C9" s="5" t="s">
        <v>60</v>
      </c>
      <c r="D9" s="6" t="s">
        <v>686</v>
      </c>
      <c r="E9" s="5">
        <f>COUNTIF(tblData[C5 Conclusion],1)</f>
        <v>26</v>
      </c>
      <c r="F9" s="11">
        <f>IF(COUNTIF(tblData[External statement],"Y")=0,"",tblEx6Criteria[[#This Row],[Statements meeting]]/COUNTIF(tblData[External statement],"Y"))</f>
        <v>0.96296296296296291</v>
      </c>
    </row>
    <row r="10" spans="1:6" x14ac:dyDescent="0.3">
      <c r="A10" s="5" t="s">
        <v>687</v>
      </c>
      <c r="B10" s="5" t="s">
        <v>688</v>
      </c>
      <c r="C10" s="5" t="s">
        <v>689</v>
      </c>
      <c r="D10" s="6" t="s">
        <v>690</v>
      </c>
      <c r="E10" s="5">
        <f>COUNTIF(tblData[P1 Scope 1 and 2],1)</f>
        <v>20</v>
      </c>
      <c r="F10" s="11">
        <f>IF(COUNTIF(tblData[External statement],"Y")=0,"",tblEx6Criteria[[#This Row],[Statements meeting]]/COUNTIF(tblData[External statement],"Y"))</f>
        <v>0.7407407407407407</v>
      </c>
    </row>
    <row r="11" spans="1:6" x14ac:dyDescent="0.3">
      <c r="A11" s="5" t="s">
        <v>691</v>
      </c>
      <c r="B11" s="5" t="s">
        <v>688</v>
      </c>
      <c r="C11" s="5" t="s">
        <v>692</v>
      </c>
      <c r="D11" s="6" t="s">
        <v>693</v>
      </c>
      <c r="E11" s="5">
        <f>COUNTIF(tblData[P2 Figures],1)</f>
        <v>6</v>
      </c>
      <c r="F11" s="11">
        <f>IF(COUNTIF(tblData[External statement],"Y")=0,"",tblEx6Criteria[[#This Row],[Statements meeting]]/COUNTIF(tblData[External statement],"Y"))</f>
        <v>0.22222222222222221</v>
      </c>
    </row>
    <row r="12" spans="1:6" x14ac:dyDescent="0.3">
      <c r="A12" s="2"/>
      <c r="B12" s="2"/>
      <c r="C12" s="2"/>
      <c r="D12" s="2"/>
      <c r="E12" s="2"/>
      <c r="F12" s="2"/>
    </row>
    <row r="13" spans="1:6" x14ac:dyDescent="0.3">
      <c r="A13" s="2"/>
      <c r="B13" s="2"/>
      <c r="C13" s="2"/>
      <c r="D13" s="2"/>
      <c r="E13" s="2"/>
      <c r="F13" s="2"/>
    </row>
    <row r="14" spans="1:6" ht="26.4" x14ac:dyDescent="0.3">
      <c r="A14" s="4" t="s">
        <v>41</v>
      </c>
      <c r="B14" s="4" t="s">
        <v>652</v>
      </c>
      <c r="C14" s="4" t="s">
        <v>694</v>
      </c>
      <c r="D14" s="4" t="s">
        <v>77</v>
      </c>
      <c r="E14" s="4" t="s">
        <v>695</v>
      </c>
      <c r="F14" s="2"/>
    </row>
    <row r="15" spans="1:6" x14ac:dyDescent="0.3">
      <c r="A15" s="5" t="s">
        <v>142</v>
      </c>
      <c r="B15" s="5">
        <f>COUNTIFS(tblData[Provider type],"Big 4 network",tblData[External statement],"Y")</f>
        <v>4</v>
      </c>
      <c r="C15" s="13">
        <f>IF(tblEx6ByType[[#This Row],[Statements]]=0,"",AVERAGEIFS(tblData[Core score],tblData[Provider type],"Big 4 network",tblData[External statement],"Y"))</f>
        <v>5</v>
      </c>
      <c r="D15" s="5">
        <f>COUNTIFS(tblData[Provider type],"Big 4 network",tblData[ISSA-ready],"Y")</f>
        <v>4</v>
      </c>
      <c r="E15" s="5">
        <f>COUNTIFS(tblData[Provider type],"Big 4 network",tblData[Competence statement],"Y")</f>
        <v>0</v>
      </c>
      <c r="F15" s="2"/>
    </row>
    <row r="16" spans="1:6" x14ac:dyDescent="0.3">
      <c r="A16" s="5" t="s">
        <v>196</v>
      </c>
      <c r="B16" s="5">
        <f>COUNTIFS(tblData[Provider type],"Other audit firm (KAP)",tblData[External statement],"Y")</f>
        <v>5</v>
      </c>
      <c r="C16" s="13">
        <f>IF(tblEx6ByType[[#This Row],[Statements]]=0,"",AVERAGEIFS(tblData[Core score],tblData[Provider type],"Other audit firm (KAP)",tblData[External statement],"Y"))</f>
        <v>3.8</v>
      </c>
      <c r="D16" s="5">
        <f>COUNTIFS(tblData[Provider type],"Other audit firm (KAP)",tblData[ISSA-ready],"Y")</f>
        <v>0</v>
      </c>
      <c r="E16" s="5">
        <f>COUNTIFS(tblData[Provider type],"Other audit firm (KAP)",tblData[Competence statement],"Y")</f>
        <v>5</v>
      </c>
      <c r="F16" s="2"/>
    </row>
    <row r="17" spans="1:6" x14ac:dyDescent="0.3">
      <c r="A17" s="5" t="s">
        <v>127</v>
      </c>
      <c r="B17" s="5">
        <f>COUNTIFS(tblData[Provider type],"Certification/inspection body",tblData[External statement],"Y")</f>
        <v>9</v>
      </c>
      <c r="C17" s="13">
        <f>IF(tblEx6ByType[[#This Row],[Statements]]=0,"",AVERAGEIFS(tblData[Core score],tblData[Provider type],"Certification/inspection body",tblData[External statement],"Y"))</f>
        <v>2.2222222222222223</v>
      </c>
      <c r="D17" s="5">
        <f>COUNTIFS(tblData[Provider type],"Certification/inspection body",tblData[ISSA-ready],"Y")</f>
        <v>0</v>
      </c>
      <c r="E17" s="5">
        <f>COUNTIFS(tblData[Provider type],"Certification/inspection body",tblData[Competence statement],"Y")</f>
        <v>9</v>
      </c>
      <c r="F17" s="2"/>
    </row>
    <row r="18" spans="1:6" x14ac:dyDescent="0.3">
      <c r="A18" s="5" t="s">
        <v>154</v>
      </c>
      <c r="B18" s="5">
        <f>COUNTIFS(tblData[Provider type],"Sustainability consultancy",tblData[External statement],"Y")</f>
        <v>8</v>
      </c>
      <c r="C18" s="13">
        <f>IF(tblEx6ByType[[#This Row],[Statements]]=0,"",AVERAGEIFS(tblData[Core score],tblData[Provider type],"Sustainability consultancy",tblData[External statement],"Y"))</f>
        <v>2</v>
      </c>
      <c r="D18" s="5">
        <f>COUNTIFS(tblData[Provider type],"Sustainability consultancy",tblData[ISSA-ready],"Y")</f>
        <v>0</v>
      </c>
      <c r="E18" s="5">
        <f>COUNTIFS(tblData[Provider type],"Sustainability consultancy",tblData[Competence statement],"Y")</f>
        <v>8</v>
      </c>
      <c r="F18" s="2"/>
    </row>
    <row r="19" spans="1:6" x14ac:dyDescent="0.3">
      <c r="A19" s="5" t="s">
        <v>109</v>
      </c>
      <c r="B19" s="5">
        <f>COUNTIFS(tblData[Provider type],"Not stated",tblData[External statement],"Y")</f>
        <v>1</v>
      </c>
      <c r="C19" s="13">
        <f>IF(tblEx6ByType[[#This Row],[Statements]]=0,"",AVERAGEIFS(tblData[Core score],tblData[Provider type],"Not stated",tblData[External statement],"Y"))</f>
        <v>0</v>
      </c>
      <c r="D19" s="5">
        <f>COUNTIFS(tblData[Provider type],"Not stated",tblData[ISSA-ready],"Y")</f>
        <v>0</v>
      </c>
      <c r="E19" s="5">
        <f>COUNTIFS(tblData[Provider type],"Not stated",tblData[Competence statement],"Y")</f>
        <v>0</v>
      </c>
      <c r="F19" s="2"/>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5"/>
  <sheetViews>
    <sheetView showGridLines="0" zoomScaleNormal="100" workbookViewId="0">
      <selection activeCell="C12" sqref="C12"/>
    </sheetView>
  </sheetViews>
  <sheetFormatPr defaultColWidth="8.6640625" defaultRowHeight="14.4" x14ac:dyDescent="0.3"/>
  <cols>
    <col min="1" max="1" width="16" customWidth="1"/>
    <col min="2" max="3" width="12" customWidth="1"/>
    <col min="4" max="5" width="13" customWidth="1"/>
    <col min="6" max="7" width="11" customWidth="1"/>
  </cols>
  <sheetData>
    <row r="1" spans="1:7" ht="17.399999999999999" x14ac:dyDescent="0.3">
      <c r="A1" s="1" t="s">
        <v>696</v>
      </c>
      <c r="B1" s="2"/>
      <c r="C1" s="2"/>
      <c r="D1" s="2"/>
      <c r="E1" s="2"/>
      <c r="F1" s="2"/>
      <c r="G1" s="2"/>
    </row>
    <row r="2" spans="1:7" x14ac:dyDescent="0.3">
      <c r="A2" s="3" t="s">
        <v>697</v>
      </c>
      <c r="B2" s="2"/>
      <c r="C2" s="2"/>
      <c r="D2" s="2"/>
      <c r="E2" s="2"/>
      <c r="F2" s="2"/>
      <c r="G2" s="2"/>
    </row>
    <row r="3" spans="1:7" x14ac:dyDescent="0.3">
      <c r="A3" s="2"/>
      <c r="B3" s="2"/>
      <c r="C3" s="2"/>
      <c r="D3" s="2"/>
      <c r="E3" s="2"/>
      <c r="F3" s="2"/>
      <c r="G3" s="2"/>
    </row>
    <row r="4" spans="1:7" ht="26.4" x14ac:dyDescent="0.3">
      <c r="A4" s="4" t="s">
        <v>698</v>
      </c>
      <c r="B4" s="4" t="s">
        <v>699</v>
      </c>
      <c r="C4" s="4" t="s">
        <v>700</v>
      </c>
      <c r="D4" s="4" t="s">
        <v>701</v>
      </c>
      <c r="E4" s="4" t="s">
        <v>702</v>
      </c>
      <c r="F4" s="4" t="s">
        <v>703</v>
      </c>
      <c r="G4" s="4" t="s">
        <v>704</v>
      </c>
    </row>
    <row r="5" spans="1:7" x14ac:dyDescent="0.3">
      <c r="A5" s="5" t="s">
        <v>705</v>
      </c>
      <c r="B5" s="5">
        <f>COUNTIFS(tblRecon[GHG assured],"Y",tblRecon[Accuracy flag],1)</f>
        <v>3</v>
      </c>
      <c r="C5" s="5">
        <f>COUNTIFS(tblRecon[GHG assured],"Y",tblRecon[Accuracy flag],"&lt;&gt;N/A")</f>
        <v>20</v>
      </c>
      <c r="D5" s="5">
        <f>COUNTIFS(tblRecon[GHG assured],"N",tblRecon[Accuracy flag],1)</f>
        <v>1</v>
      </c>
      <c r="E5" s="5">
        <f>COUNTIFS(tblRecon[GHG assured],"N",tblRecon[Accuracy flag],"&lt;&gt;N/A")</f>
        <v>24</v>
      </c>
      <c r="F5" s="5">
        <f>COUNTIF(tblRecon[Accuracy flag],1)</f>
        <v>4</v>
      </c>
      <c r="G5" s="5">
        <f>COUNTIF(tblRecon[Accuracy flag],"&lt;&gt;N/A")</f>
        <v>44</v>
      </c>
    </row>
    <row r="6" spans="1:7" x14ac:dyDescent="0.3">
      <c r="A6" s="5" t="s">
        <v>706</v>
      </c>
      <c r="B6" s="5">
        <f>COUNTIFS(tblRecon[GHG assured],"Y",tblRecon[Consistency flag],1)</f>
        <v>7</v>
      </c>
      <c r="C6" s="5">
        <f>COUNTIFS(tblRecon[GHG assured],"Y",tblRecon[Consistency flag],"&lt;&gt;N/A")</f>
        <v>19</v>
      </c>
      <c r="D6" s="5">
        <f>COUNTIFS(tblRecon[GHG assured],"N",tblRecon[Consistency flag],1)</f>
        <v>5</v>
      </c>
      <c r="E6" s="5">
        <f>COUNTIFS(tblRecon[GHG assured],"N",tblRecon[Consistency flag],"&lt;&gt;N/A")</f>
        <v>20</v>
      </c>
      <c r="F6" s="5">
        <f>COUNTIF(tblRecon[Consistency flag],1)</f>
        <v>12</v>
      </c>
      <c r="G6" s="5">
        <f>COUNTIF(tblRecon[Consistency flag],"&lt;&gt;N/A")</f>
        <v>39</v>
      </c>
    </row>
    <row r="7" spans="1:7" x14ac:dyDescent="0.3">
      <c r="A7" s="5" t="s">
        <v>707</v>
      </c>
      <c r="B7" s="5">
        <f>COUNTIFS(tblRecon[GHG assured],"Y",tblRecon[Completeness flag],1)</f>
        <v>6</v>
      </c>
      <c r="C7" s="5">
        <f>COUNTIFS(tblRecon[GHG assured],"Y",tblRecon[Completeness flag],"&lt;&gt;N/A")</f>
        <v>20</v>
      </c>
      <c r="D7" s="5">
        <f>COUNTIFS(tblRecon[GHG assured],"N",tblRecon[Completeness flag],1)</f>
        <v>8</v>
      </c>
      <c r="E7" s="5">
        <f>COUNTIFS(tblRecon[GHG assured],"N",tblRecon[Completeness flag],"&lt;&gt;N/A")</f>
        <v>25</v>
      </c>
      <c r="F7" s="5">
        <f>COUNTIF(tblRecon[Completeness flag],1)</f>
        <v>14</v>
      </c>
      <c r="G7" s="5">
        <f>COUNTIF(tblRecon[Completeness flag],"&lt;&gt;N/A")</f>
        <v>45</v>
      </c>
    </row>
    <row r="8" spans="1:7" x14ac:dyDescent="0.3">
      <c r="A8" s="2"/>
      <c r="B8" s="2"/>
      <c r="C8" s="2"/>
      <c r="D8" s="2"/>
      <c r="E8" s="2"/>
      <c r="F8" s="2"/>
      <c r="G8" s="2"/>
    </row>
    <row r="9" spans="1:7" x14ac:dyDescent="0.3">
      <c r="A9" s="2"/>
      <c r="B9" s="2"/>
      <c r="C9" s="2"/>
      <c r="D9" s="2"/>
      <c r="E9" s="2"/>
      <c r="F9" s="2"/>
      <c r="G9" s="2"/>
    </row>
    <row r="10" spans="1:7" x14ac:dyDescent="0.3">
      <c r="A10" s="4" t="s">
        <v>698</v>
      </c>
      <c r="B10" s="4" t="s">
        <v>660</v>
      </c>
      <c r="C10" s="4" t="s">
        <v>708</v>
      </c>
      <c r="D10" s="2"/>
      <c r="E10" s="2"/>
      <c r="F10" s="2"/>
      <c r="G10" s="2"/>
    </row>
    <row r="11" spans="1:7" x14ac:dyDescent="0.3">
      <c r="A11" s="5" t="s">
        <v>705</v>
      </c>
      <c r="B11" s="11">
        <f>IF(INDEX(tblEx7[Assured testable],1)=0,"",INDEX(tblEx7[Assured flagged],1)/INDEX(tblEx7[Assured testable],1))</f>
        <v>0.15</v>
      </c>
      <c r="C11" s="11">
        <f>IF(INDEX(tblEx7[Not assured testable],1)=0,"",INDEX(tblEx7[Not assured flagged],1)/INDEX(tblEx7[Not assured testable],1))</f>
        <v>4.1666666666666664E-2</v>
      </c>
      <c r="D11" s="2"/>
      <c r="E11" s="2"/>
      <c r="F11" s="2"/>
      <c r="G11" s="2"/>
    </row>
    <row r="12" spans="1:7" x14ac:dyDescent="0.3">
      <c r="A12" s="5" t="s">
        <v>706</v>
      </c>
      <c r="B12" s="11">
        <f>IF(INDEX(tblEx7[Assured testable],2)=0,"",INDEX(tblEx7[Assured flagged],2)/INDEX(tblEx7[Assured testable],2))</f>
        <v>0.36842105263157893</v>
      </c>
      <c r="C12" s="11">
        <f>IF(INDEX(tblEx7[Not assured testable],2)=0,"",INDEX(tblEx7[Not assured flagged],2)/INDEX(tblEx7[Not assured testable],2))</f>
        <v>0.25</v>
      </c>
      <c r="D12" s="2"/>
      <c r="E12" s="2"/>
      <c r="F12" s="2"/>
      <c r="G12" s="2"/>
    </row>
    <row r="13" spans="1:7" x14ac:dyDescent="0.3">
      <c r="A13" s="5" t="s">
        <v>707</v>
      </c>
      <c r="B13" s="11">
        <f>IF(INDEX(tblEx7[Assured testable],3)=0,"",INDEX(tblEx7[Assured flagged],3)/INDEX(tblEx7[Assured testable],3))</f>
        <v>0.3</v>
      </c>
      <c r="C13" s="11">
        <f>IF(INDEX(tblEx7[Not assured testable],3)=0,"",INDEX(tblEx7[Not assured flagged],3)/INDEX(tblEx7[Not assured testable],3))</f>
        <v>0.32</v>
      </c>
      <c r="D13" s="2"/>
      <c r="E13" s="2"/>
      <c r="F13" s="2"/>
      <c r="G13" s="2"/>
    </row>
    <row r="14" spans="1:7" x14ac:dyDescent="0.3">
      <c r="A14" s="2"/>
      <c r="B14" s="2"/>
      <c r="C14" s="2"/>
      <c r="D14" s="2"/>
      <c r="E14" s="2"/>
      <c r="F14" s="2"/>
      <c r="G14" s="2"/>
    </row>
    <row r="15" spans="1:7" x14ac:dyDescent="0.3">
      <c r="A15" s="3" t="s">
        <v>709</v>
      </c>
      <c r="B15" s="2"/>
      <c r="C15" s="2"/>
      <c r="D15" s="2"/>
      <c r="E15" s="2"/>
      <c r="F15" s="2"/>
      <c r="G15" s="2"/>
    </row>
  </sheetData>
  <pageMargins left="0.75" right="0.75" top="1" bottom="1" header="0.511811023622047" footer="0.511811023622047"/>
  <pageSetup paperSize="9" orientation="portrait" horizontalDpi="300" verticalDpi="300"/>
  <tableParts count="2">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0"/>
  <sheetViews>
    <sheetView showGridLines="0" zoomScaleNormal="100" workbookViewId="0">
      <selection activeCell="B17" sqref="B17"/>
    </sheetView>
  </sheetViews>
  <sheetFormatPr defaultColWidth="8.6640625" defaultRowHeight="14.4" x14ac:dyDescent="0.3"/>
  <cols>
    <col min="1" max="1" width="10" customWidth="1"/>
    <col min="2" max="2" width="58" customWidth="1"/>
    <col min="3" max="3" width="10" customWidth="1"/>
    <col min="4" max="4" width="56" customWidth="1"/>
  </cols>
  <sheetData>
    <row r="1" spans="1:4" ht="17.399999999999999" x14ac:dyDescent="0.3">
      <c r="A1" s="1" t="s">
        <v>710</v>
      </c>
      <c r="B1" s="2"/>
      <c r="C1" s="2"/>
      <c r="D1" s="2"/>
    </row>
    <row r="2" spans="1:4" x14ac:dyDescent="0.3">
      <c r="A2" s="3" t="s">
        <v>711</v>
      </c>
      <c r="B2" s="2"/>
      <c r="C2" s="2"/>
      <c r="D2" s="2"/>
    </row>
    <row r="3" spans="1:4" x14ac:dyDescent="0.3">
      <c r="A3" s="2"/>
      <c r="B3" s="2"/>
      <c r="C3" s="2"/>
      <c r="D3" s="2"/>
    </row>
    <row r="4" spans="1:4" x14ac:dyDescent="0.3">
      <c r="A4" s="4" t="s">
        <v>712</v>
      </c>
      <c r="B4" s="4" t="s">
        <v>713</v>
      </c>
      <c r="C4" s="4" t="s">
        <v>714</v>
      </c>
      <c r="D4" s="4" t="s">
        <v>715</v>
      </c>
    </row>
    <row r="5" spans="1:4" x14ac:dyDescent="0.3">
      <c r="A5" s="5" t="s">
        <v>716</v>
      </c>
      <c r="B5" s="5" t="s">
        <v>717</v>
      </c>
      <c r="C5" s="5">
        <f>COUNTIF(tblData[External statement],"Y")</f>
        <v>27</v>
      </c>
      <c r="D5" s="6" t="s">
        <v>718</v>
      </c>
    </row>
    <row r="6" spans="1:4" x14ac:dyDescent="0.3">
      <c r="A6" s="5" t="s">
        <v>719</v>
      </c>
      <c r="B6" s="5" t="s">
        <v>720</v>
      </c>
      <c r="C6" s="5">
        <f>COUNTIF(tblData[ESG rating cited],"Y")</f>
        <v>24</v>
      </c>
      <c r="D6" s="6" t="s">
        <v>718</v>
      </c>
    </row>
    <row r="7" spans="1:4" x14ac:dyDescent="0.3">
      <c r="A7" s="5" t="s">
        <v>719</v>
      </c>
      <c r="B7" s="5" t="s">
        <v>721</v>
      </c>
      <c r="C7" s="5">
        <f>SUMPRODUCT(--(((tblData[ESG rating cited]="Y")+(tblData[External statement]="Y"))&gt;0))</f>
        <v>31</v>
      </c>
      <c r="D7" s="6" t="s">
        <v>718</v>
      </c>
    </row>
    <row r="8" spans="1:4" x14ac:dyDescent="0.3">
      <c r="A8" s="5" t="s">
        <v>722</v>
      </c>
      <c r="B8" s="5" t="s">
        <v>723</v>
      </c>
      <c r="C8" s="5">
        <f>COUNTIFS(tblData[Scope 1 assured],"Y",tblData[Scope 1 figures listed],"N")</f>
        <v>14</v>
      </c>
      <c r="D8" s="6" t="s">
        <v>47</v>
      </c>
    </row>
    <row r="9" spans="1:4" x14ac:dyDescent="0.3">
      <c r="A9" s="5" t="s">
        <v>722</v>
      </c>
      <c r="B9" s="5" t="s">
        <v>724</v>
      </c>
      <c r="C9" s="5">
        <f>COUNTIFS(tblData[Subject matter],"Whole report",tblData[Figures listed],"N")</f>
        <v>6</v>
      </c>
      <c r="D9" s="6" t="s">
        <v>725</v>
      </c>
    </row>
    <row r="10" spans="1:4" x14ac:dyDescent="0.3">
      <c r="A10" s="5" t="s">
        <v>722</v>
      </c>
      <c r="B10" s="5" t="s">
        <v>726</v>
      </c>
      <c r="C10" s="5">
        <f>COUNTIFS(tblData[External statement],"Y",tblData[Scope 1 assured],"&lt;&gt;Y",tblData[Scope 2 assured],"&lt;&gt;Y",tblData[Scope 3 assured],"&lt;&gt;Y")</f>
        <v>7</v>
      </c>
      <c r="D10" s="6" t="s">
        <v>727</v>
      </c>
    </row>
    <row r="11" spans="1:4" x14ac:dyDescent="0.3">
      <c r="A11" s="5" t="s">
        <v>722</v>
      </c>
      <c r="B11" s="5" t="s">
        <v>728</v>
      </c>
      <c r="C11" s="5">
        <f>COUNTIF(tblData[Figures match report],"Y")</f>
        <v>6</v>
      </c>
      <c r="D11" s="6" t="s">
        <v>729</v>
      </c>
    </row>
    <row r="12" spans="1:4" x14ac:dyDescent="0.3">
      <c r="A12" s="5" t="s">
        <v>730</v>
      </c>
      <c r="B12" s="5" t="s">
        <v>731</v>
      </c>
      <c r="C12" s="5">
        <f>COUNTIF(tblData[Competence statement],"Y")</f>
        <v>22</v>
      </c>
      <c r="D12" s="6" t="s">
        <v>727</v>
      </c>
    </row>
    <row r="13" spans="1:4" x14ac:dyDescent="0.3">
      <c r="A13" s="5" t="s">
        <v>732</v>
      </c>
      <c r="B13" s="5" t="s">
        <v>733</v>
      </c>
      <c r="C13" s="5">
        <f>COUNTIF(tblRecon[Passes all lenses],"Y")</f>
        <v>18</v>
      </c>
      <c r="D13" s="6" t="s">
        <v>734</v>
      </c>
    </row>
    <row r="14" spans="1:4" x14ac:dyDescent="0.3">
      <c r="A14" s="5" t="s">
        <v>732</v>
      </c>
      <c r="B14" s="5" t="s">
        <v>735</v>
      </c>
      <c r="C14" s="5">
        <f>COUNTIF(tblRecon[Inferred omission],"Y")</f>
        <v>6</v>
      </c>
      <c r="D14" s="6" t="s">
        <v>734</v>
      </c>
    </row>
    <row r="15" spans="1:4" ht="26.4" x14ac:dyDescent="0.3">
      <c r="A15" s="5" t="s">
        <v>732</v>
      </c>
      <c r="B15" s="5" t="s">
        <v>736</v>
      </c>
      <c r="C15" s="14">
        <v>5</v>
      </c>
      <c r="D15" s="6" t="s">
        <v>737</v>
      </c>
    </row>
    <row r="16" spans="1:4" x14ac:dyDescent="0.3">
      <c r="A16" s="5" t="s">
        <v>732</v>
      </c>
      <c r="B16" s="5" t="s">
        <v>738</v>
      </c>
      <c r="C16" s="5">
        <f>COUNTIF(tblRecon[Editorial flag],"Y")</f>
        <v>15</v>
      </c>
      <c r="D16" s="6" t="s">
        <v>734</v>
      </c>
    </row>
    <row r="17" spans="1:4" x14ac:dyDescent="0.3">
      <c r="A17" s="5" t="s">
        <v>732</v>
      </c>
      <c r="B17" s="5" t="s">
        <v>739</v>
      </c>
      <c r="C17" s="5">
        <f>COUNTIF(tblRecon[Prior-year flag],"Y")</f>
        <v>8</v>
      </c>
      <c r="D17" s="6" t="s">
        <v>734</v>
      </c>
    </row>
    <row r="18" spans="1:4" x14ac:dyDescent="0.3">
      <c r="A18" s="5" t="s">
        <v>732</v>
      </c>
      <c r="B18" s="5" t="s">
        <v>740</v>
      </c>
      <c r="C18" s="5">
        <f>COUNTIF(tblData[Conclusion],"Modified")</f>
        <v>0</v>
      </c>
      <c r="D18" s="6" t="s">
        <v>727</v>
      </c>
    </row>
    <row r="19" spans="1:4" x14ac:dyDescent="0.3">
      <c r="A19" s="5" t="s">
        <v>741</v>
      </c>
      <c r="B19" s="5" t="s">
        <v>742</v>
      </c>
      <c r="C19" s="5">
        <f>COUNTIF(tblData[ISSA-ready],"N")</f>
        <v>23</v>
      </c>
      <c r="D19" s="6" t="s">
        <v>727</v>
      </c>
    </row>
    <row r="20" spans="1:4" x14ac:dyDescent="0.3">
      <c r="A20" s="5" t="s">
        <v>741</v>
      </c>
      <c r="B20" s="5" t="s">
        <v>743</v>
      </c>
      <c r="C20" s="5">
        <f>COUNTIF(tblData[External statement],"N")+COUNTIF(tblData[ISSA-ready],"N")</f>
        <v>41</v>
      </c>
      <c r="D20" s="6" t="s">
        <v>718</v>
      </c>
    </row>
  </sheetData>
  <pageMargins left="0.75" right="0.75" top="1" bottom="1" header="0.511811023622047" footer="0.511811023622047"/>
  <pageSetup paperSize="9" orientation="portrait" horizontalDpi="300" verticalDpi="300"/>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4"/>
  <sheetViews>
    <sheetView showGridLines="0" tabSelected="1" zoomScaleNormal="100" workbookViewId="0">
      <selection activeCell="C31" sqref="C31"/>
    </sheetView>
  </sheetViews>
  <sheetFormatPr defaultColWidth="8.6640625" defaultRowHeight="14.4" x14ac:dyDescent="0.3"/>
  <cols>
    <col min="1" max="1" width="6" customWidth="1"/>
    <col min="2" max="2" width="62" customWidth="1"/>
    <col min="3" max="3" width="30" customWidth="1"/>
    <col min="4" max="4" width="70" customWidth="1"/>
  </cols>
  <sheetData>
    <row r="1" spans="1:4" ht="17.399999999999999" x14ac:dyDescent="0.3">
      <c r="A1" s="1" t="s">
        <v>18</v>
      </c>
      <c r="B1" s="2"/>
      <c r="C1" s="2"/>
      <c r="D1" s="2"/>
    </row>
    <row r="2" spans="1:4" x14ac:dyDescent="0.3">
      <c r="A2" s="3" t="s">
        <v>744</v>
      </c>
      <c r="B2" s="2"/>
      <c r="C2" s="2"/>
      <c r="D2" s="2"/>
    </row>
    <row r="3" spans="1:4" x14ac:dyDescent="0.3">
      <c r="A3" s="2"/>
      <c r="B3" s="2"/>
      <c r="C3" s="2"/>
      <c r="D3" s="2"/>
    </row>
    <row r="4" spans="1:4" x14ac:dyDescent="0.3">
      <c r="A4" s="4" t="s">
        <v>745</v>
      </c>
      <c r="B4" s="4" t="s">
        <v>611</v>
      </c>
      <c r="C4" s="4" t="s">
        <v>746</v>
      </c>
      <c r="D4" s="4" t="s">
        <v>747</v>
      </c>
    </row>
    <row r="5" spans="1:4" x14ac:dyDescent="0.3">
      <c r="A5" s="5">
        <v>1</v>
      </c>
      <c r="B5" s="6" t="s">
        <v>748</v>
      </c>
      <c r="C5" s="5" t="s">
        <v>749</v>
      </c>
      <c r="D5" s="8" t="s">
        <v>750</v>
      </c>
    </row>
    <row r="6" spans="1:4" x14ac:dyDescent="0.3">
      <c r="A6" s="5">
        <v>2</v>
      </c>
      <c r="B6" s="6" t="s">
        <v>751</v>
      </c>
      <c r="C6" s="5" t="s">
        <v>752</v>
      </c>
      <c r="D6" s="8" t="s">
        <v>753</v>
      </c>
    </row>
    <row r="7" spans="1:4" x14ac:dyDescent="0.3">
      <c r="A7" s="5">
        <v>3</v>
      </c>
      <c r="B7" s="6" t="s">
        <v>754</v>
      </c>
      <c r="C7" s="5" t="s">
        <v>755</v>
      </c>
      <c r="D7" s="5" t="s">
        <v>756</v>
      </c>
    </row>
    <row r="8" spans="1:4" x14ac:dyDescent="0.3">
      <c r="A8" s="5">
        <v>4</v>
      </c>
      <c r="B8" s="6" t="s">
        <v>757</v>
      </c>
      <c r="C8" s="5" t="s">
        <v>758</v>
      </c>
      <c r="D8" s="5" t="s">
        <v>759</v>
      </c>
    </row>
    <row r="9" spans="1:4" x14ac:dyDescent="0.3">
      <c r="A9" s="5">
        <v>5</v>
      </c>
      <c r="B9" s="6" t="s">
        <v>760</v>
      </c>
      <c r="C9" s="5" t="s">
        <v>761</v>
      </c>
      <c r="D9" s="8" t="s">
        <v>762</v>
      </c>
    </row>
    <row r="10" spans="1:4" x14ac:dyDescent="0.3">
      <c r="A10" s="5">
        <v>6</v>
      </c>
      <c r="B10" s="6" t="s">
        <v>763</v>
      </c>
      <c r="C10" s="5" t="s">
        <v>764</v>
      </c>
      <c r="D10" s="8" t="s">
        <v>765</v>
      </c>
    </row>
    <row r="11" spans="1:4" ht="26.4" x14ac:dyDescent="0.3">
      <c r="A11" s="5">
        <v>7</v>
      </c>
      <c r="B11" s="6" t="s">
        <v>766</v>
      </c>
      <c r="C11" s="5" t="s">
        <v>767</v>
      </c>
      <c r="D11" s="8" t="s">
        <v>768</v>
      </c>
    </row>
    <row r="12" spans="1:4" x14ac:dyDescent="0.3">
      <c r="A12" s="5">
        <v>8</v>
      </c>
      <c r="B12" s="6" t="s">
        <v>769</v>
      </c>
      <c r="C12" s="5" t="s">
        <v>621</v>
      </c>
      <c r="D12" s="8" t="s">
        <v>770</v>
      </c>
    </row>
    <row r="13" spans="1:4" x14ac:dyDescent="0.3">
      <c r="A13" s="5">
        <v>9</v>
      </c>
      <c r="B13" s="6" t="s">
        <v>771</v>
      </c>
      <c r="C13" s="5" t="s">
        <v>772</v>
      </c>
      <c r="D13" s="8" t="s">
        <v>773</v>
      </c>
    </row>
    <row r="14" spans="1:4" x14ac:dyDescent="0.3">
      <c r="A14" s="5">
        <v>10</v>
      </c>
      <c r="B14" s="6" t="s">
        <v>774</v>
      </c>
      <c r="C14" s="5" t="s">
        <v>775</v>
      </c>
      <c r="D14" s="8" t="s">
        <v>776</v>
      </c>
    </row>
    <row r="15" spans="1:4" x14ac:dyDescent="0.3">
      <c r="A15" s="5">
        <v>11</v>
      </c>
      <c r="B15" s="6" t="s">
        <v>777</v>
      </c>
      <c r="C15" s="5" t="s">
        <v>775</v>
      </c>
      <c r="D15" s="8" t="s">
        <v>778</v>
      </c>
    </row>
    <row r="16" spans="1:4" x14ac:dyDescent="0.3">
      <c r="A16" s="5">
        <v>12</v>
      </c>
      <c r="B16" s="6" t="s">
        <v>779</v>
      </c>
      <c r="C16" s="5" t="s">
        <v>613</v>
      </c>
      <c r="D16" s="8" t="s">
        <v>780</v>
      </c>
    </row>
    <row r="17" spans="1:4" x14ac:dyDescent="0.3">
      <c r="A17" s="5">
        <v>13</v>
      </c>
      <c r="B17" s="6" t="s">
        <v>781</v>
      </c>
      <c r="C17" s="5" t="s">
        <v>782</v>
      </c>
      <c r="D17" s="8" t="s">
        <v>783</v>
      </c>
    </row>
    <row r="18" spans="1:4" x14ac:dyDescent="0.3">
      <c r="A18" s="5">
        <v>14</v>
      </c>
      <c r="B18" s="6" t="s">
        <v>784</v>
      </c>
      <c r="C18" s="5" t="s">
        <v>785</v>
      </c>
      <c r="D18" s="8" t="s">
        <v>786</v>
      </c>
    </row>
    <row r="19" spans="1:4" x14ac:dyDescent="0.3">
      <c r="A19" s="5">
        <v>15</v>
      </c>
      <c r="B19" s="6" t="s">
        <v>787</v>
      </c>
      <c r="C19" s="5" t="s">
        <v>788</v>
      </c>
      <c r="D19" s="8" t="s">
        <v>789</v>
      </c>
    </row>
    <row r="20" spans="1:4" x14ac:dyDescent="0.3">
      <c r="A20" s="5">
        <v>16</v>
      </c>
      <c r="B20" s="6" t="s">
        <v>790</v>
      </c>
      <c r="C20" s="5" t="s">
        <v>629</v>
      </c>
      <c r="D20" s="8" t="s">
        <v>791</v>
      </c>
    </row>
    <row r="21" spans="1:4" x14ac:dyDescent="0.3">
      <c r="A21" s="5">
        <v>17</v>
      </c>
      <c r="B21" s="6" t="s">
        <v>792</v>
      </c>
      <c r="C21" s="5" t="s">
        <v>793</v>
      </c>
      <c r="D21" s="8" t="s">
        <v>794</v>
      </c>
    </row>
    <row r="22" spans="1:4" x14ac:dyDescent="0.3">
      <c r="A22" s="5">
        <v>18</v>
      </c>
      <c r="B22" s="6" t="s">
        <v>795</v>
      </c>
      <c r="C22" s="5" t="s">
        <v>796</v>
      </c>
      <c r="D22" s="8" t="s">
        <v>797</v>
      </c>
    </row>
    <row r="23" spans="1:4" x14ac:dyDescent="0.3">
      <c r="A23" s="5">
        <v>19</v>
      </c>
      <c r="B23" s="6" t="s">
        <v>798</v>
      </c>
      <c r="C23" s="5" t="s">
        <v>799</v>
      </c>
      <c r="D23" s="8" t="s">
        <v>800</v>
      </c>
    </row>
    <row r="24" spans="1:4" x14ac:dyDescent="0.3">
      <c r="A24" s="5">
        <v>20</v>
      </c>
      <c r="B24" s="6" t="s">
        <v>801</v>
      </c>
      <c r="C24" s="5" t="s">
        <v>802</v>
      </c>
      <c r="D24" s="8" t="s">
        <v>803</v>
      </c>
    </row>
  </sheetData>
  <hyperlinks>
    <hyperlink ref="D5" r:id="rId1" xr:uid="{00000000-0004-0000-0C00-000000000000}"/>
    <hyperlink ref="D6" r:id="rId2" xr:uid="{00000000-0004-0000-0C00-000001000000}"/>
    <hyperlink ref="D9" r:id="rId3" xr:uid="{00000000-0004-0000-0C00-000002000000}"/>
    <hyperlink ref="D10" r:id="rId4" xr:uid="{00000000-0004-0000-0C00-000003000000}"/>
    <hyperlink ref="D11" r:id="rId5" xr:uid="{00000000-0004-0000-0C00-000004000000}"/>
    <hyperlink ref="D12" r:id="rId6" xr:uid="{00000000-0004-0000-0C00-000005000000}"/>
    <hyperlink ref="D13" r:id="rId7" xr:uid="{00000000-0004-0000-0C00-000006000000}"/>
    <hyperlink ref="D14" r:id="rId8" xr:uid="{00000000-0004-0000-0C00-000007000000}"/>
    <hyperlink ref="D15" r:id="rId9" xr:uid="{00000000-0004-0000-0C00-000008000000}"/>
    <hyperlink ref="D16" r:id="rId10" xr:uid="{00000000-0004-0000-0C00-000009000000}"/>
    <hyperlink ref="D17" r:id="rId11" xr:uid="{00000000-0004-0000-0C00-00000A000000}"/>
    <hyperlink ref="D18" r:id="rId12" xr:uid="{00000000-0004-0000-0C00-00000B000000}"/>
    <hyperlink ref="D19" r:id="rId13" xr:uid="{00000000-0004-0000-0C00-00000C000000}"/>
    <hyperlink ref="D20" r:id="rId14" xr:uid="{00000000-0004-0000-0C00-00000D000000}"/>
    <hyperlink ref="D21" r:id="rId15" xr:uid="{00000000-0004-0000-0C00-00000E000000}"/>
    <hyperlink ref="D22" r:id="rId16" xr:uid="{00000000-0004-0000-0C00-00000F000000}"/>
    <hyperlink ref="D23" r:id="rId17" xr:uid="{00000000-0004-0000-0C00-000010000000}"/>
    <hyperlink ref="D24" r:id="rId18" xr:uid="{00000000-0004-0000-0C00-000011000000}"/>
  </hyperlinks>
  <pageMargins left="0.75" right="0.75" top="1" bottom="1" header="0.511811023622047" footer="0.511811023622047"/>
  <pageSetup paperSize="9" orientation="portrait" horizontalDpi="300" verticalDpi="300"/>
  <tableParts count="1">
    <tablePart r:id="rId19"/>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Data</vt:lpstr>
      <vt:lpstr>GHG reconciliation</vt:lpstr>
      <vt:lpstr>Codebook</vt:lpstr>
      <vt:lpstr>Exhibit 1</vt:lpstr>
      <vt:lpstr>Exhibit 2</vt:lpstr>
      <vt:lpstr>Exhibit 3</vt:lpstr>
      <vt:lpstr>Exhibit 4</vt:lpstr>
      <vt:lpstr>Exhibit 5</vt:lpstr>
      <vt:lpstr>Exhibit 6</vt:lpstr>
      <vt:lpstr>Exhibit 7</vt:lpstr>
      <vt:lpstr>Text figures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Kelvin Kenzie Muhammad</cp:lastModifiedBy>
  <cp:revision>0</cp:revision>
  <dcterms:created xsi:type="dcterms:W3CDTF">2026-10-24T09:33:55Z</dcterms:created>
  <dcterms:modified xsi:type="dcterms:W3CDTF">2026-10-24T09:41:20Z</dcterms:modified>
  <dc:language>en-US</dc:language>
</cp:coreProperties>
</file>